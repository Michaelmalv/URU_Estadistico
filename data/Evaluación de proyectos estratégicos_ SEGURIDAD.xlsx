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URU-Estadisticas\URU_Estadistico\data\"/>
    </mc:Choice>
  </mc:AlternateContent>
  <xr:revisionPtr revIDLastSave="0" documentId="13_ncr:1_{616C64CD-3EE1-4ADF-80B1-BA0B52FB60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50m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M47" i="2" l="1"/>
  <c r="BL47" i="2"/>
  <c r="BJ47" i="2"/>
  <c r="BI47" i="2"/>
  <c r="BH47" i="2"/>
  <c r="BG47" i="2"/>
  <c r="BB47" i="2"/>
  <c r="AY47" i="2"/>
  <c r="AX47" i="2"/>
  <c r="AV47" i="2"/>
  <c r="BO46" i="2"/>
  <c r="BN46" i="2"/>
  <c r="BM46" i="2"/>
  <c r="BL46" i="2"/>
  <c r="BK46" i="2"/>
  <c r="BI46" i="2"/>
  <c r="BG46" i="2"/>
  <c r="BD46" i="2"/>
  <c r="BB46" i="2"/>
  <c r="AZ46" i="2"/>
  <c r="AX46" i="2"/>
  <c r="AV46" i="2"/>
  <c r="BO45" i="2"/>
  <c r="BM45" i="2"/>
  <c r="BK45" i="2"/>
  <c r="BJ45" i="2"/>
  <c r="BI45" i="2"/>
  <c r="BG45" i="2"/>
  <c r="BE45" i="2"/>
  <c r="BD45" i="2"/>
  <c r="BB45" i="2"/>
  <c r="BA45" i="2"/>
  <c r="AY45" i="2"/>
  <c r="AX45" i="2"/>
  <c r="AV45" i="2"/>
  <c r="BP44" i="2"/>
  <c r="BO44" i="2"/>
  <c r="BN44" i="2"/>
  <c r="BM44" i="2"/>
  <c r="BJ44" i="2"/>
  <c r="BI44" i="2"/>
  <c r="BG44" i="2"/>
  <c r="BE44" i="2"/>
  <c r="BD44" i="2"/>
  <c r="BC44" i="2"/>
  <c r="BB44" i="2"/>
  <c r="AY44" i="2"/>
  <c r="AX44" i="2"/>
  <c r="AW44" i="2"/>
  <c r="AV44" i="2"/>
  <c r="AU44" i="2"/>
  <c r="BP43" i="2"/>
  <c r="BO43" i="2"/>
  <c r="BN43" i="2"/>
  <c r="BM43" i="2"/>
  <c r="BL43" i="2"/>
  <c r="BJ43" i="2"/>
  <c r="BI43" i="2"/>
  <c r="BG43" i="2"/>
  <c r="BF43" i="2"/>
  <c r="BE43" i="2"/>
  <c r="BD43" i="2"/>
  <c r="BC43" i="2"/>
  <c r="BB43" i="2"/>
  <c r="AZ43" i="2"/>
  <c r="AY43" i="2"/>
  <c r="AX43" i="2"/>
  <c r="AV43" i="2"/>
  <c r="AU43" i="2"/>
  <c r="BO42" i="2"/>
  <c r="BN42" i="2"/>
  <c r="BM42" i="2"/>
  <c r="BK42" i="2"/>
  <c r="BJ42" i="2"/>
  <c r="BI42" i="2"/>
  <c r="BH42" i="2"/>
  <c r="BG42" i="2"/>
  <c r="BE42" i="2"/>
  <c r="BD42" i="2"/>
  <c r="BC42" i="2"/>
  <c r="BB42" i="2"/>
  <c r="AX42" i="2"/>
  <c r="AV42" i="2"/>
  <c r="BP41" i="2"/>
  <c r="BO41" i="2"/>
  <c r="BN41" i="2"/>
  <c r="BM41" i="2"/>
  <c r="BL41" i="2"/>
  <c r="BK41" i="2"/>
  <c r="BJ41" i="2"/>
  <c r="BI41" i="2"/>
  <c r="BG41" i="2"/>
  <c r="BF41" i="2"/>
  <c r="BD41" i="2"/>
  <c r="BC41" i="2"/>
  <c r="BB41" i="2"/>
  <c r="AZ41" i="2"/>
  <c r="AY41" i="2"/>
  <c r="AX41" i="2"/>
  <c r="AV41" i="2"/>
  <c r="AU41" i="2"/>
  <c r="BP40" i="2"/>
  <c r="BO40" i="2"/>
  <c r="BN40" i="2"/>
  <c r="BM40" i="2"/>
  <c r="BK40" i="2"/>
  <c r="BJ40" i="2"/>
  <c r="BI40" i="2"/>
  <c r="BH40" i="2"/>
  <c r="BG40" i="2"/>
  <c r="BD40" i="2"/>
  <c r="BC40" i="2"/>
  <c r="BB40" i="2"/>
  <c r="BA40" i="2"/>
  <c r="AZ40" i="2"/>
  <c r="AY40" i="2"/>
  <c r="AX40" i="2"/>
  <c r="AW40" i="2"/>
  <c r="AV40" i="2"/>
  <c r="BP39" i="2"/>
  <c r="BO39" i="2"/>
  <c r="BN39" i="2"/>
  <c r="BM39" i="2"/>
  <c r="BL39" i="2"/>
  <c r="BK39" i="2"/>
  <c r="BJ39" i="2"/>
  <c r="BI39" i="2"/>
  <c r="BG39" i="2"/>
  <c r="BF39" i="2"/>
  <c r="BE39" i="2"/>
  <c r="BD39" i="2"/>
  <c r="BC39" i="2"/>
  <c r="BB39" i="2"/>
  <c r="BA39" i="2"/>
  <c r="AZ39" i="2"/>
  <c r="AX39" i="2"/>
  <c r="AW39" i="2"/>
  <c r="AV39" i="2"/>
  <c r="AU39" i="2"/>
  <c r="BP38" i="2"/>
  <c r="BO38" i="2"/>
  <c r="BN38" i="2"/>
  <c r="BM38" i="2"/>
  <c r="BL38" i="2"/>
  <c r="BJ38" i="2"/>
  <c r="BI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BO37" i="2"/>
  <c r="BM37" i="2"/>
  <c r="BL37" i="2"/>
  <c r="BJ37" i="2"/>
  <c r="BI37" i="2"/>
  <c r="BG37" i="2"/>
  <c r="BF37" i="2"/>
  <c r="BD37" i="2"/>
  <c r="BC37" i="2"/>
  <c r="BB37" i="2"/>
  <c r="BA37" i="2"/>
  <c r="AZ37" i="2"/>
  <c r="AY37" i="2"/>
  <c r="AX37" i="2"/>
  <c r="AW37" i="2"/>
  <c r="AV37" i="2"/>
  <c r="AU37" i="2"/>
  <c r="BO36" i="2"/>
  <c r="BN36" i="2"/>
  <c r="BM36" i="2"/>
  <c r="BL36" i="2"/>
  <c r="BJ36" i="2"/>
  <c r="BI36" i="2"/>
  <c r="BH36" i="2"/>
  <c r="BG36" i="2"/>
  <c r="BF36" i="2"/>
  <c r="BE36" i="2"/>
  <c r="BD36" i="2"/>
  <c r="BC36" i="2"/>
  <c r="BB36" i="2"/>
  <c r="BA36" i="2"/>
  <c r="AY36" i="2"/>
  <c r="AX36" i="2"/>
  <c r="AV36" i="2"/>
  <c r="BO35" i="2"/>
  <c r="BM35" i="2"/>
  <c r="BJ35" i="2"/>
  <c r="BI35" i="2"/>
  <c r="BG35" i="2"/>
  <c r="BE35" i="2"/>
  <c r="BB35" i="2"/>
  <c r="AY35" i="2"/>
  <c r="AX35" i="2"/>
  <c r="AV35" i="2"/>
  <c r="BP34" i="2"/>
  <c r="BO34" i="2"/>
  <c r="BN34" i="2"/>
  <c r="BM34" i="2"/>
  <c r="BL34" i="2"/>
  <c r="BK34" i="2"/>
  <c r="BJ34" i="2"/>
  <c r="BI34" i="2"/>
  <c r="BG34" i="2"/>
  <c r="BE34" i="2"/>
  <c r="BD34" i="2"/>
  <c r="BC34" i="2"/>
  <c r="BB34" i="2"/>
  <c r="AZ34" i="2"/>
  <c r="AY34" i="2"/>
  <c r="AX34" i="2"/>
  <c r="AV34" i="2"/>
  <c r="AU34" i="2"/>
  <c r="BP33" i="2"/>
  <c r="BO33" i="2"/>
  <c r="BM33" i="2"/>
  <c r="BL33" i="2"/>
  <c r="BK33" i="2"/>
  <c r="BJ33" i="2"/>
  <c r="BI33" i="2"/>
  <c r="BG33" i="2"/>
  <c r="BF33" i="2"/>
  <c r="BD33" i="2"/>
  <c r="BC33" i="2"/>
  <c r="BB33" i="2"/>
  <c r="AZ33" i="2"/>
  <c r="AY33" i="2"/>
  <c r="AX33" i="2"/>
  <c r="AV33" i="2"/>
  <c r="BM32" i="2"/>
  <c r="BL32" i="2"/>
  <c r="BK32" i="2"/>
  <c r="BJ32" i="2"/>
  <c r="BI32" i="2"/>
  <c r="BG32" i="2"/>
  <c r="BF32" i="2"/>
  <c r="BE32" i="2"/>
  <c r="BB32" i="2"/>
  <c r="AZ32" i="2"/>
  <c r="AY32" i="2"/>
  <c r="AX32" i="2"/>
  <c r="AV32" i="2"/>
  <c r="BO31" i="2"/>
  <c r="BN31" i="2"/>
  <c r="BM31" i="2"/>
  <c r="BL31" i="2"/>
  <c r="BK31" i="2"/>
  <c r="BJ31" i="2"/>
  <c r="BI31" i="2"/>
  <c r="BG31" i="2"/>
  <c r="BF31" i="2"/>
  <c r="BD31" i="2"/>
  <c r="BB31" i="2"/>
  <c r="BA31" i="2"/>
  <c r="AZ31" i="2"/>
  <c r="AY31" i="2"/>
  <c r="AX31" i="2"/>
  <c r="AW31" i="2"/>
  <c r="AV31" i="2"/>
  <c r="BM30" i="2"/>
  <c r="BK30" i="2"/>
  <c r="BI30" i="2"/>
  <c r="BH30" i="2"/>
  <c r="BF30" i="2"/>
  <c r="BE30" i="2"/>
  <c r="BC30" i="2"/>
  <c r="BB30" i="2"/>
  <c r="AZ30" i="2"/>
  <c r="AY30" i="2"/>
  <c r="AX30" i="2"/>
  <c r="AV30" i="2"/>
  <c r="AU30" i="2"/>
  <c r="BP29" i="2"/>
  <c r="BM29" i="2"/>
  <c r="BL29" i="2"/>
  <c r="BK29" i="2"/>
  <c r="BI29" i="2"/>
  <c r="BG29" i="2"/>
  <c r="BF29" i="2"/>
  <c r="BD29" i="2"/>
  <c r="BB29" i="2"/>
  <c r="BA29" i="2"/>
  <c r="AZ29" i="2"/>
  <c r="AY29" i="2"/>
  <c r="AX29" i="2"/>
  <c r="AV29" i="2"/>
  <c r="AU29" i="2"/>
  <c r="BO23" i="2"/>
  <c r="BM23" i="2"/>
  <c r="BI23" i="2"/>
  <c r="BG23" i="2"/>
  <c r="BD23" i="2"/>
  <c r="BC23" i="2"/>
  <c r="BB23" i="2"/>
  <c r="AX23" i="2"/>
  <c r="AV23" i="2"/>
  <c r="BP22" i="2"/>
  <c r="BO22" i="2"/>
  <c r="BM22" i="2"/>
  <c r="BL22" i="2"/>
  <c r="BK22" i="2"/>
  <c r="BJ22" i="2"/>
  <c r="BI22" i="2"/>
  <c r="BG22" i="2"/>
  <c r="BE22" i="2"/>
  <c r="BD22" i="2"/>
  <c r="AY22" i="2"/>
  <c r="AX22" i="2"/>
  <c r="AV22" i="2"/>
  <c r="BP21" i="2"/>
  <c r="BO21" i="2"/>
  <c r="BN21" i="2"/>
  <c r="BM21" i="2"/>
  <c r="BL21" i="2"/>
  <c r="BK21" i="2"/>
  <c r="BJ21" i="2"/>
  <c r="BI21" i="2"/>
  <c r="BG21" i="2"/>
  <c r="BF21" i="2"/>
  <c r="BE21" i="2"/>
  <c r="BD21" i="2"/>
  <c r="BC21" i="2"/>
  <c r="BB21" i="2"/>
  <c r="BA21" i="2"/>
  <c r="AZ21" i="2"/>
  <c r="AX21" i="2"/>
  <c r="AW21" i="2"/>
  <c r="AV21" i="2"/>
  <c r="AU21" i="2"/>
  <c r="BO20" i="2"/>
  <c r="BM20" i="2"/>
  <c r="BL20" i="2"/>
  <c r="BK20" i="2"/>
  <c r="BJ20" i="2"/>
  <c r="BI20" i="2"/>
  <c r="BG20" i="2"/>
  <c r="BF20" i="2"/>
  <c r="BB20" i="2"/>
  <c r="BA20" i="2"/>
  <c r="AZ20" i="2"/>
  <c r="AY20" i="2"/>
  <c r="AX20" i="2"/>
  <c r="AV20" i="2"/>
  <c r="BP19" i="2"/>
  <c r="BO19" i="2"/>
  <c r="BN19" i="2"/>
  <c r="BM19" i="2"/>
  <c r="BL19" i="2"/>
  <c r="BK19" i="2"/>
  <c r="BJ19" i="2"/>
  <c r="BI19" i="2"/>
  <c r="BG19" i="2"/>
  <c r="BD19" i="2"/>
  <c r="BC19" i="2"/>
  <c r="BB19" i="2"/>
  <c r="BA19" i="2"/>
  <c r="AZ19" i="2"/>
  <c r="AX19" i="2"/>
  <c r="AV19" i="2"/>
  <c r="AU19" i="2"/>
  <c r="BJ17" i="2"/>
  <c r="BI17" i="2"/>
  <c r="BH17" i="2"/>
  <c r="BG17" i="2"/>
  <c r="BF17" i="2"/>
  <c r="AY17" i="2"/>
  <c r="AX17" i="2"/>
  <c r="AW17" i="2"/>
  <c r="AV17" i="2"/>
  <c r="AU17" i="2"/>
  <c r="BP16" i="2"/>
  <c r="BO16" i="2"/>
  <c r="BN16" i="2"/>
  <c r="BM16" i="2"/>
  <c r="BL16" i="2"/>
  <c r="BK16" i="2"/>
  <c r="BJ16" i="2"/>
  <c r="BI16" i="2"/>
  <c r="BG16" i="2"/>
  <c r="BF16" i="2"/>
  <c r="BE16" i="2"/>
  <c r="BD16" i="2"/>
  <c r="BB16" i="2"/>
  <c r="BA16" i="2"/>
  <c r="AZ16" i="2"/>
  <c r="AY16" i="2"/>
  <c r="AX16" i="2"/>
  <c r="AV16" i="2"/>
  <c r="AU16" i="2"/>
  <c r="BO15" i="2"/>
  <c r="BN15" i="2"/>
  <c r="BM15" i="2"/>
  <c r="BL15" i="2"/>
  <c r="BK15" i="2"/>
  <c r="BI15" i="2"/>
  <c r="BG15" i="2"/>
  <c r="BE15" i="2"/>
  <c r="BD15" i="2"/>
  <c r="BB15" i="2"/>
  <c r="AY15" i="2"/>
  <c r="AX15" i="2"/>
  <c r="AV15" i="2"/>
  <c r="BP14" i="2"/>
  <c r="BO14" i="2"/>
  <c r="BN14" i="2"/>
  <c r="BM14" i="2"/>
  <c r="BL14" i="2"/>
  <c r="BI14" i="2"/>
  <c r="BG14" i="2"/>
  <c r="BE14" i="2"/>
  <c r="BC14" i="2"/>
  <c r="BB14" i="2"/>
  <c r="BA14" i="2"/>
  <c r="AX14" i="2"/>
  <c r="AV14" i="2"/>
  <c r="BO13" i="2"/>
  <c r="BM13" i="2"/>
  <c r="BJ13" i="2"/>
  <c r="BI13" i="2"/>
  <c r="BH13" i="2"/>
  <c r="BG13" i="2"/>
  <c r="BD13" i="2"/>
  <c r="BC13" i="2"/>
  <c r="BB13" i="2"/>
  <c r="AX13" i="2"/>
  <c r="AV13" i="2"/>
  <c r="BM12" i="2"/>
  <c r="BL12" i="2"/>
  <c r="BK12" i="2"/>
  <c r="BJ12" i="2"/>
  <c r="BI12" i="2"/>
  <c r="BG12" i="2"/>
  <c r="BB12" i="2"/>
  <c r="BA12" i="2"/>
  <c r="AY12" i="2"/>
  <c r="AX12" i="2"/>
  <c r="AV12" i="2"/>
  <c r="BP11" i="2"/>
  <c r="BO11" i="2"/>
  <c r="BN11" i="2"/>
  <c r="BM11" i="2"/>
  <c r="BK11" i="2"/>
  <c r="BJ11" i="2"/>
  <c r="BI11" i="2"/>
  <c r="BG11" i="2"/>
  <c r="BB11" i="2"/>
  <c r="AZ11" i="2"/>
  <c r="AY11" i="2"/>
  <c r="AX11" i="2"/>
  <c r="AV11" i="2"/>
  <c r="AU11" i="2"/>
  <c r="BO10" i="2"/>
  <c r="BM10" i="2"/>
  <c r="BL10" i="2"/>
  <c r="BJ10" i="2"/>
  <c r="BI10" i="2"/>
  <c r="BG10" i="2"/>
  <c r="BE10" i="2"/>
  <c r="BB10" i="2"/>
  <c r="AX10" i="2"/>
  <c r="AV10" i="2"/>
  <c r="BO9" i="2"/>
  <c r="BN9" i="2"/>
  <c r="BM9" i="2"/>
  <c r="BL9" i="2"/>
  <c r="BK9" i="2"/>
  <c r="BI9" i="2"/>
  <c r="BG9" i="2"/>
  <c r="BF9" i="2"/>
  <c r="BC9" i="2"/>
  <c r="BB9" i="2"/>
  <c r="AY9" i="2"/>
  <c r="AX9" i="2"/>
  <c r="AW9" i="2"/>
  <c r="AV9" i="2"/>
  <c r="BO8" i="2"/>
  <c r="BN8" i="2"/>
  <c r="BM8" i="2"/>
  <c r="BL8" i="2"/>
  <c r="BK8" i="2"/>
  <c r="BJ8" i="2"/>
  <c r="BI8" i="2"/>
  <c r="BG8" i="2"/>
  <c r="BF8" i="2"/>
  <c r="BC8" i="2"/>
  <c r="BB8" i="2"/>
  <c r="BA8" i="2"/>
  <c r="AZ8" i="2"/>
  <c r="AY8" i="2"/>
  <c r="AX8" i="2"/>
  <c r="AW8" i="2"/>
  <c r="AV8" i="2"/>
  <c r="BP7" i="2"/>
  <c r="BO7" i="2"/>
  <c r="BN7" i="2"/>
  <c r="BM7" i="2"/>
  <c r="BK7" i="2"/>
  <c r="BI7" i="2"/>
  <c r="BG7" i="2"/>
  <c r="BE7" i="2"/>
  <c r="BD7" i="2"/>
  <c r="BC7" i="2"/>
  <c r="BB7" i="2"/>
  <c r="AZ7" i="2"/>
  <c r="AY7" i="2"/>
  <c r="AX7" i="2"/>
  <c r="AW7" i="2"/>
  <c r="AV7" i="2"/>
  <c r="BO6" i="2"/>
  <c r="BN6" i="2"/>
  <c r="BM6" i="2"/>
  <c r="BL6" i="2"/>
  <c r="BK6" i="2"/>
  <c r="BJ6" i="2"/>
  <c r="BI6" i="2"/>
  <c r="BG6" i="2"/>
  <c r="BF6" i="2"/>
  <c r="BE6" i="2"/>
  <c r="BD6" i="2"/>
  <c r="BC6" i="2"/>
  <c r="BB6" i="2"/>
  <c r="BA6" i="2"/>
  <c r="AZ6" i="2"/>
  <c r="AY6" i="2"/>
  <c r="AX6" i="2"/>
  <c r="AV6" i="2"/>
  <c r="AU6" i="2"/>
  <c r="BM5" i="2"/>
  <c r="BJ5" i="2"/>
  <c r="BI5" i="2"/>
  <c r="BH5" i="2"/>
  <c r="BG5" i="2"/>
  <c r="BF5" i="2"/>
  <c r="BD5" i="2"/>
  <c r="BC5" i="2"/>
  <c r="BB5" i="2"/>
  <c r="BA5" i="2"/>
  <c r="AZ5" i="2"/>
  <c r="AY5" i="2"/>
  <c r="AX5" i="2"/>
  <c r="AW5" i="2"/>
  <c r="AV5" i="2"/>
  <c r="AU5" i="2"/>
</calcChain>
</file>

<file path=xl/sharedStrings.xml><?xml version="1.0" encoding="utf-8"?>
<sst xmlns="http://schemas.openxmlformats.org/spreadsheetml/2006/main" count="126" uniqueCount="65">
  <si>
    <t>Proyectos estratégicos</t>
  </si>
  <si>
    <t>2026* (enero-abril)</t>
  </si>
  <si>
    <t>TASA DE VARIACIÓN 2023-2024</t>
  </si>
  <si>
    <t>TASA DE VARIACIÓN 2024-2025</t>
  </si>
  <si>
    <t>Proyecto</t>
  </si>
  <si>
    <t>INCIDENTES</t>
  </si>
  <si>
    <t>DELITOS</t>
  </si>
  <si>
    <t>Daño a propiedad pública y privada</t>
  </si>
  <si>
    <t>Escándalos</t>
  </si>
  <si>
    <t>Eventos clandestinos</t>
  </si>
  <si>
    <t>Libadores</t>
  </si>
  <si>
    <t>Venta y consumo de sustancias sujetas a fiscalización</t>
  </si>
  <si>
    <t>Robo a carros</t>
  </si>
  <si>
    <t>Robo a motos</t>
  </si>
  <si>
    <t>Robo a personas</t>
  </si>
  <si>
    <t>Robo a unidades económicas</t>
  </si>
  <si>
    <t>Robo de autopartes</t>
  </si>
  <si>
    <t>Robo a domicilios</t>
  </si>
  <si>
    <t>Senderos Seguros</t>
  </si>
  <si>
    <t>Av. Patria</t>
  </si>
  <si>
    <t>Av. Colón</t>
  </si>
  <si>
    <t>El Tingo-2 de Agosto</t>
  </si>
  <si>
    <t>Av. Michelena</t>
  </si>
  <si>
    <t>Chillogallo-Luis Lopez</t>
  </si>
  <si>
    <t>Caldas y Antepara</t>
  </si>
  <si>
    <t>Av. Carapungo</t>
  </si>
  <si>
    <t>La Roldós Oe13-Colinas del Norte</t>
  </si>
  <si>
    <t>Isla Tortuga</t>
  </si>
  <si>
    <t>Juan Montalvo</t>
  </si>
  <si>
    <t>Conocoto</t>
  </si>
  <si>
    <t>Av. Ajaví</t>
  </si>
  <si>
    <t>Escalinatas Rocafuerte</t>
  </si>
  <si>
    <t>Av. La Ecuatoriana</t>
  </si>
  <si>
    <t>Gabriel García Moreno</t>
  </si>
  <si>
    <t>Lizardo Ruiz</t>
  </si>
  <si>
    <t>Av. Ramón Borja</t>
  </si>
  <si>
    <t>Vía del Ferrocarril</t>
  </si>
  <si>
    <t>Ruiz de Castilla</t>
  </si>
  <si>
    <t>Av. Cacha</t>
  </si>
  <si>
    <t>Nanegalito</t>
  </si>
  <si>
    <t>Comité del Pueblo</t>
  </si>
  <si>
    <t>La Mariscal</t>
  </si>
  <si>
    <t>Río de Janeiro</t>
  </si>
  <si>
    <t>Zonas Metro</t>
  </si>
  <si>
    <t>Quitumbe</t>
  </si>
  <si>
    <t>Morán Valverde</t>
  </si>
  <si>
    <t>Solanda</t>
  </si>
  <si>
    <t>Cardenal de la Torre</t>
  </si>
  <si>
    <t>El Recreo</t>
  </si>
  <si>
    <t>La Magdalena</t>
  </si>
  <si>
    <t>San Francisco</t>
  </si>
  <si>
    <t>La Alameda</t>
  </si>
  <si>
    <t>El Ejido</t>
  </si>
  <si>
    <t>Universidad Central</t>
  </si>
  <si>
    <t>La Pradera</t>
  </si>
  <si>
    <t>La Carolina</t>
  </si>
  <si>
    <t>Iñaquito</t>
  </si>
  <si>
    <t>Jipijapa</t>
  </si>
  <si>
    <t>El Labrador: Bulevar y Parque de la Resiliencia</t>
  </si>
  <si>
    <t>Plan de Rehabilitación Centro Histórico de Quito</t>
  </si>
  <si>
    <t>Calle Rocafuerte</t>
  </si>
  <si>
    <t>Calle Benalzacar</t>
  </si>
  <si>
    <t>Recuperación de espacios público</t>
  </si>
  <si>
    <t>Bulevar Tribuna de los Shyris</t>
  </si>
  <si>
    <t>Parque Navarro - Plaza de las tripas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</si>
</sst>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rgb="FF000000"/>
      <name val="Montserrat"/>
    </font>
    <font>
      <sz val="10"/>
      <color rgb="FF000000"/>
      <name val="Montserrat"/>
    </font>
    <font>
      <sz val="10"/>
      <color rgb="FF000000"/>
      <name val="Arial"/>
    </font>
    <font>
      <b/>
      <sz val="13"/>
      <color rgb="FF000000"/>
      <name val="Montserrat"/>
    </font>
    <font>
      <sz val="10"/>
      <name val="Arial"/>
    </font>
    <font>
      <b/>
      <sz val="17"/>
      <color rgb="FF000000"/>
      <name val="Montserrat"/>
    </font>
    <font>
      <b/>
      <sz val="11"/>
      <color rgb="FF000000"/>
      <name val="Montserrat"/>
    </font>
    <font>
      <b/>
      <sz val="12"/>
      <color rgb="FF000000"/>
      <name val="Montserrat"/>
    </font>
    <font>
      <sz val="11"/>
      <color rgb="FF000000"/>
      <name val="Calibri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7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/>
    <xf numFmtId="0" fontId="9" fillId="0" borderId="10" xfId="0" applyFont="1" applyBorder="1" applyAlignment="1">
      <alignment horizontal="right"/>
    </xf>
    <xf numFmtId="0" fontId="1" fillId="4" borderId="10" xfId="0" applyFont="1" applyFill="1" applyBorder="1" applyAlignment="1"/>
    <xf numFmtId="0" fontId="3" fillId="4" borderId="10" xfId="0" applyFont="1" applyFill="1" applyBorder="1" applyAlignment="1"/>
    <xf numFmtId="0" fontId="1" fillId="5" borderId="10" xfId="0" applyFont="1" applyFill="1" applyBorder="1" applyAlignment="1"/>
    <xf numFmtId="0" fontId="1" fillId="0" borderId="10" xfId="0" applyFont="1" applyBorder="1" applyAlignment="1"/>
    <xf numFmtId="0" fontId="9" fillId="0" borderId="10" xfId="0" applyFont="1" applyBorder="1" applyAlignment="1">
      <alignment horizontal="right"/>
    </xf>
    <xf numFmtId="0" fontId="9" fillId="0" borderId="10" xfId="0" applyFont="1" applyBorder="1" applyAlignment="1"/>
    <xf numFmtId="10" fontId="9" fillId="0" borderId="10" xfId="0" applyNumberFormat="1" applyFont="1" applyBorder="1" applyAlignment="1">
      <alignment horizontal="right"/>
    </xf>
    <xf numFmtId="0" fontId="9" fillId="0" borderId="10" xfId="0" applyFont="1" applyBorder="1" applyAlignment="1"/>
    <xf numFmtId="0" fontId="10" fillId="0" borderId="10" xfId="0" applyFont="1" applyBorder="1"/>
    <xf numFmtId="0" fontId="9" fillId="0" borderId="10" xfId="0" applyFont="1" applyBorder="1" applyAlignment="1"/>
    <xf numFmtId="0" fontId="9" fillId="0" borderId="0" xfId="0" applyFont="1" applyAlignment="1">
      <alignment horizontal="right"/>
    </xf>
    <xf numFmtId="0" fontId="9" fillId="0" borderId="0" xfId="0" applyFont="1" applyAlignment="1"/>
    <xf numFmtId="10" fontId="3" fillId="4" borderId="10" xfId="0" applyNumberFormat="1" applyFont="1" applyFill="1" applyBorder="1" applyAlignment="1"/>
    <xf numFmtId="0" fontId="4" fillId="0" borderId="4" xfId="0" applyFont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5" fillId="0" borderId="9" xfId="0" applyFont="1" applyBorder="1"/>
    <xf numFmtId="0" fontId="1" fillId="2" borderId="3" xfId="0" applyFont="1" applyFill="1" applyBorder="1" applyAlignment="1">
      <alignment horizontal="center"/>
    </xf>
    <xf numFmtId="0" fontId="5" fillId="0" borderId="3" xfId="0" applyFont="1" applyBorder="1"/>
    <xf numFmtId="0" fontId="5" fillId="0" borderId="2" xfId="0" applyFont="1" applyBorder="1"/>
    <xf numFmtId="0" fontId="8" fillId="0" borderId="11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/>
    <xf numFmtId="0" fontId="1" fillId="3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P1012"/>
  <sheetViews>
    <sheetView tabSelected="1" workbookViewId="0">
      <pane xSplit="2" topLeftCell="C1" activePane="topRight" state="frozen"/>
      <selection pane="topRight" activeCell="C2" sqref="C2:M2"/>
    </sheetView>
  </sheetViews>
  <sheetFormatPr baseColWidth="10" defaultColWidth="12.5703125" defaultRowHeight="15.75" customHeight="1" x14ac:dyDescent="0.2"/>
  <cols>
    <col min="2" max="2" width="34.140625" customWidth="1"/>
    <col min="29" max="29" width="15.7109375" customWidth="1"/>
  </cols>
  <sheetData>
    <row r="1" spans="1:68" ht="15.75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ht="15.75" customHeight="1" x14ac:dyDescent="0.5">
      <c r="A2" s="32" t="s">
        <v>0</v>
      </c>
      <c r="B2" s="27"/>
      <c r="C2" s="33">
        <v>2023</v>
      </c>
      <c r="D2" s="26"/>
      <c r="E2" s="26"/>
      <c r="F2" s="26"/>
      <c r="G2" s="26"/>
      <c r="H2" s="26"/>
      <c r="I2" s="26"/>
      <c r="J2" s="26"/>
      <c r="K2" s="26"/>
      <c r="L2" s="26"/>
      <c r="M2" s="27"/>
      <c r="N2" s="34">
        <v>2024</v>
      </c>
      <c r="O2" s="26"/>
      <c r="P2" s="26"/>
      <c r="Q2" s="26"/>
      <c r="R2" s="26"/>
      <c r="S2" s="26"/>
      <c r="T2" s="26"/>
      <c r="U2" s="26"/>
      <c r="V2" s="26"/>
      <c r="W2" s="26"/>
      <c r="X2" s="27"/>
      <c r="Y2" s="33">
        <v>2025</v>
      </c>
      <c r="Z2" s="26"/>
      <c r="AA2" s="26"/>
      <c r="AB2" s="26"/>
      <c r="AC2" s="26"/>
      <c r="AD2" s="26"/>
      <c r="AE2" s="26"/>
      <c r="AF2" s="26"/>
      <c r="AG2" s="26"/>
      <c r="AH2" s="26"/>
      <c r="AI2" s="27"/>
      <c r="AJ2" s="34" t="s">
        <v>1</v>
      </c>
      <c r="AK2" s="26"/>
      <c r="AL2" s="26"/>
      <c r="AM2" s="26"/>
      <c r="AN2" s="26"/>
      <c r="AO2" s="26"/>
      <c r="AP2" s="26"/>
      <c r="AQ2" s="26"/>
      <c r="AR2" s="26"/>
      <c r="AS2" s="26"/>
      <c r="AT2" s="27"/>
      <c r="AU2" s="35" t="s">
        <v>2</v>
      </c>
      <c r="AV2" s="36"/>
      <c r="AW2" s="36"/>
      <c r="AX2" s="36"/>
      <c r="AY2" s="36"/>
      <c r="AZ2" s="36"/>
      <c r="BA2" s="36"/>
      <c r="BB2" s="36"/>
      <c r="BC2" s="36"/>
      <c r="BD2" s="36"/>
      <c r="BE2" s="22"/>
      <c r="BF2" s="35" t="s">
        <v>3</v>
      </c>
      <c r="BG2" s="36"/>
      <c r="BH2" s="36"/>
      <c r="BI2" s="36"/>
      <c r="BJ2" s="36"/>
      <c r="BK2" s="36"/>
      <c r="BL2" s="36"/>
      <c r="BM2" s="36"/>
      <c r="BN2" s="36"/>
      <c r="BO2" s="36"/>
      <c r="BP2" s="22"/>
    </row>
    <row r="3" spans="1:68" ht="15.75" customHeight="1" x14ac:dyDescent="0.3">
      <c r="A3" s="21" t="s">
        <v>4</v>
      </c>
      <c r="B3" s="22"/>
      <c r="C3" s="25" t="s">
        <v>5</v>
      </c>
      <c r="D3" s="26"/>
      <c r="E3" s="26"/>
      <c r="F3" s="26"/>
      <c r="G3" s="27"/>
      <c r="H3" s="25" t="s">
        <v>6</v>
      </c>
      <c r="I3" s="26"/>
      <c r="J3" s="26"/>
      <c r="K3" s="26"/>
      <c r="L3" s="26"/>
      <c r="M3" s="27"/>
      <c r="N3" s="31" t="s">
        <v>5</v>
      </c>
      <c r="O3" s="26"/>
      <c r="P3" s="26"/>
      <c r="Q3" s="26"/>
      <c r="R3" s="27"/>
      <c r="S3" s="31" t="s">
        <v>6</v>
      </c>
      <c r="T3" s="26"/>
      <c r="U3" s="26"/>
      <c r="V3" s="26"/>
      <c r="W3" s="26"/>
      <c r="X3" s="27"/>
      <c r="Y3" s="25" t="s">
        <v>5</v>
      </c>
      <c r="Z3" s="26"/>
      <c r="AA3" s="26"/>
      <c r="AB3" s="26"/>
      <c r="AC3" s="27"/>
      <c r="AD3" s="25" t="s">
        <v>6</v>
      </c>
      <c r="AE3" s="26"/>
      <c r="AF3" s="26"/>
      <c r="AG3" s="26"/>
      <c r="AH3" s="26"/>
      <c r="AI3" s="27"/>
      <c r="AJ3" s="31" t="s">
        <v>5</v>
      </c>
      <c r="AK3" s="26"/>
      <c r="AL3" s="26"/>
      <c r="AM3" s="26"/>
      <c r="AN3" s="27"/>
      <c r="AO3" s="31" t="s">
        <v>6</v>
      </c>
      <c r="AP3" s="26"/>
      <c r="AQ3" s="26"/>
      <c r="AR3" s="26"/>
      <c r="AS3" s="26"/>
      <c r="AT3" s="27"/>
      <c r="AU3" s="23"/>
      <c r="AV3" s="37"/>
      <c r="AW3" s="37"/>
      <c r="AX3" s="37"/>
      <c r="AY3" s="37"/>
      <c r="AZ3" s="37"/>
      <c r="BA3" s="37"/>
      <c r="BB3" s="37"/>
      <c r="BC3" s="37"/>
      <c r="BD3" s="37"/>
      <c r="BE3" s="24"/>
      <c r="BF3" s="23"/>
      <c r="BG3" s="37"/>
      <c r="BH3" s="37"/>
      <c r="BI3" s="37"/>
      <c r="BJ3" s="37"/>
      <c r="BK3" s="37"/>
      <c r="BL3" s="37"/>
      <c r="BM3" s="37"/>
      <c r="BN3" s="37"/>
      <c r="BO3" s="37"/>
      <c r="BP3" s="24"/>
    </row>
    <row r="4" spans="1:68" x14ac:dyDescent="0.2">
      <c r="A4" s="23"/>
      <c r="B4" s="24"/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7</v>
      </c>
      <c r="O4" s="5" t="s">
        <v>8</v>
      </c>
      <c r="P4" s="5" t="s">
        <v>9</v>
      </c>
      <c r="Q4" s="5" t="s">
        <v>10</v>
      </c>
      <c r="R4" s="5" t="s">
        <v>11</v>
      </c>
      <c r="S4" s="5" t="s">
        <v>12</v>
      </c>
      <c r="T4" s="5" t="s">
        <v>13</v>
      </c>
      <c r="U4" s="5" t="s">
        <v>14</v>
      </c>
      <c r="V4" s="5" t="s">
        <v>15</v>
      </c>
      <c r="W4" s="5" t="s">
        <v>16</v>
      </c>
      <c r="X4" s="5" t="s">
        <v>17</v>
      </c>
      <c r="Y4" s="5" t="s">
        <v>7</v>
      </c>
      <c r="Z4" s="5" t="s">
        <v>8</v>
      </c>
      <c r="AA4" s="5" t="s">
        <v>9</v>
      </c>
      <c r="AB4" s="5" t="s">
        <v>10</v>
      </c>
      <c r="AC4" s="5" t="s">
        <v>11</v>
      </c>
      <c r="AD4" s="5" t="s">
        <v>12</v>
      </c>
      <c r="AE4" s="5" t="s">
        <v>13</v>
      </c>
      <c r="AF4" s="5" t="s">
        <v>14</v>
      </c>
      <c r="AG4" s="5" t="s">
        <v>15</v>
      </c>
      <c r="AH4" s="5" t="s">
        <v>16</v>
      </c>
      <c r="AI4" s="5" t="s">
        <v>17</v>
      </c>
      <c r="AJ4" s="5" t="s">
        <v>7</v>
      </c>
      <c r="AK4" s="5" t="s">
        <v>8</v>
      </c>
      <c r="AL4" s="5" t="s">
        <v>9</v>
      </c>
      <c r="AM4" s="5" t="s">
        <v>10</v>
      </c>
      <c r="AN4" s="5" t="s">
        <v>11</v>
      </c>
      <c r="AO4" s="5" t="s">
        <v>12</v>
      </c>
      <c r="AP4" s="5" t="s">
        <v>13</v>
      </c>
      <c r="AQ4" s="5" t="s">
        <v>14</v>
      </c>
      <c r="AR4" s="5" t="s">
        <v>15</v>
      </c>
      <c r="AS4" s="5" t="s">
        <v>16</v>
      </c>
      <c r="AT4" s="5" t="s">
        <v>17</v>
      </c>
      <c r="AU4" s="5" t="s">
        <v>7</v>
      </c>
      <c r="AV4" s="5" t="s">
        <v>8</v>
      </c>
      <c r="AW4" s="5" t="s">
        <v>9</v>
      </c>
      <c r="AX4" s="5" t="s">
        <v>10</v>
      </c>
      <c r="AY4" s="5" t="s">
        <v>11</v>
      </c>
      <c r="AZ4" s="5" t="s">
        <v>12</v>
      </c>
      <c r="BA4" s="5" t="s">
        <v>13</v>
      </c>
      <c r="BB4" s="5" t="s">
        <v>14</v>
      </c>
      <c r="BC4" s="5" t="s">
        <v>15</v>
      </c>
      <c r="BD4" s="5" t="s">
        <v>16</v>
      </c>
      <c r="BE4" s="5" t="s">
        <v>17</v>
      </c>
      <c r="BF4" s="5" t="s">
        <v>7</v>
      </c>
      <c r="BG4" s="5" t="s">
        <v>8</v>
      </c>
      <c r="BH4" s="5" t="s">
        <v>9</v>
      </c>
      <c r="BI4" s="5" t="s">
        <v>10</v>
      </c>
      <c r="BJ4" s="5" t="s">
        <v>11</v>
      </c>
      <c r="BK4" s="5" t="s">
        <v>12</v>
      </c>
      <c r="BL4" s="5" t="s">
        <v>13</v>
      </c>
      <c r="BM4" s="5" t="s">
        <v>14</v>
      </c>
      <c r="BN4" s="5" t="s">
        <v>15</v>
      </c>
      <c r="BO4" s="5" t="s">
        <v>16</v>
      </c>
      <c r="BP4" s="5" t="s">
        <v>17</v>
      </c>
    </row>
    <row r="5" spans="1:68" ht="15.75" customHeight="1" x14ac:dyDescent="0.3">
      <c r="A5" s="28" t="s">
        <v>18</v>
      </c>
      <c r="B5" s="6" t="s">
        <v>19</v>
      </c>
      <c r="C5" s="12">
        <v>3</v>
      </c>
      <c r="D5" s="12">
        <v>111</v>
      </c>
      <c r="E5" s="12">
        <v>3</v>
      </c>
      <c r="F5" s="12">
        <v>43</v>
      </c>
      <c r="G5" s="12">
        <v>10</v>
      </c>
      <c r="H5" s="12">
        <v>2</v>
      </c>
      <c r="I5" s="12">
        <v>1</v>
      </c>
      <c r="J5" s="12">
        <v>44</v>
      </c>
      <c r="K5" s="12">
        <v>1</v>
      </c>
      <c r="L5" s="12">
        <v>3</v>
      </c>
      <c r="M5" s="13"/>
      <c r="N5" s="12">
        <v>3</v>
      </c>
      <c r="O5" s="12">
        <v>94</v>
      </c>
      <c r="P5" s="12">
        <v>1</v>
      </c>
      <c r="Q5" s="12">
        <v>26</v>
      </c>
      <c r="R5" s="12">
        <v>16</v>
      </c>
      <c r="S5" s="13"/>
      <c r="T5" s="13"/>
      <c r="U5" s="12">
        <v>29</v>
      </c>
      <c r="V5" s="13"/>
      <c r="W5" s="13"/>
      <c r="X5" s="13"/>
      <c r="Y5" s="12">
        <v>2</v>
      </c>
      <c r="Z5" s="12">
        <v>90</v>
      </c>
      <c r="AA5" s="12">
        <v>1</v>
      </c>
      <c r="AB5" s="12">
        <v>24</v>
      </c>
      <c r="AC5" s="12">
        <v>10</v>
      </c>
      <c r="AD5" s="12">
        <v>3</v>
      </c>
      <c r="AE5" s="12">
        <v>5</v>
      </c>
      <c r="AF5" s="12">
        <v>33</v>
      </c>
      <c r="AG5" s="12">
        <v>4</v>
      </c>
      <c r="AH5" s="12">
        <v>4</v>
      </c>
      <c r="AI5" s="13"/>
      <c r="AJ5" s="12">
        <v>2</v>
      </c>
      <c r="AK5" s="12">
        <v>22</v>
      </c>
      <c r="AL5" s="13"/>
      <c r="AM5" s="12">
        <v>13</v>
      </c>
      <c r="AN5" s="12">
        <v>5</v>
      </c>
      <c r="AO5" s="13"/>
      <c r="AP5" s="13"/>
      <c r="AQ5" s="12">
        <v>3</v>
      </c>
      <c r="AR5" s="12">
        <v>1</v>
      </c>
      <c r="AS5" s="12">
        <v>2</v>
      </c>
      <c r="AT5" s="13"/>
      <c r="AU5" s="14">
        <f t="shared" ref="AU5:BD5" si="0">N5/C5-1</f>
        <v>0</v>
      </c>
      <c r="AV5" s="14">
        <f t="shared" si="0"/>
        <v>-0.15315315315315314</v>
      </c>
      <c r="AW5" s="14">
        <f t="shared" si="0"/>
        <v>-0.66666666666666674</v>
      </c>
      <c r="AX5" s="14">
        <f t="shared" si="0"/>
        <v>-0.39534883720930236</v>
      </c>
      <c r="AY5" s="14">
        <f t="shared" si="0"/>
        <v>0.60000000000000009</v>
      </c>
      <c r="AZ5" s="14">
        <f t="shared" si="0"/>
        <v>-1</v>
      </c>
      <c r="BA5" s="14">
        <f t="shared" si="0"/>
        <v>-1</v>
      </c>
      <c r="BB5" s="14">
        <f t="shared" si="0"/>
        <v>-0.34090909090909094</v>
      </c>
      <c r="BC5" s="14">
        <f t="shared" si="0"/>
        <v>-1</v>
      </c>
      <c r="BD5" s="14">
        <f t="shared" si="0"/>
        <v>-1</v>
      </c>
      <c r="BE5" s="14">
        <v>0</v>
      </c>
      <c r="BF5" s="14">
        <f t="shared" ref="BF5:BJ5" si="1">Y5/N5-1</f>
        <v>-0.33333333333333337</v>
      </c>
      <c r="BG5" s="14">
        <f t="shared" si="1"/>
        <v>-4.2553191489361653E-2</v>
      </c>
      <c r="BH5" s="14">
        <f t="shared" si="1"/>
        <v>0</v>
      </c>
      <c r="BI5" s="14">
        <f t="shared" si="1"/>
        <v>-7.6923076923076872E-2</v>
      </c>
      <c r="BJ5" s="14">
        <f t="shared" si="1"/>
        <v>-0.375</v>
      </c>
      <c r="BK5" s="14">
        <v>0</v>
      </c>
      <c r="BL5" s="14">
        <v>0</v>
      </c>
      <c r="BM5" s="14">
        <f>AF5/U5-1</f>
        <v>0.13793103448275867</v>
      </c>
      <c r="BN5" s="14">
        <v>0</v>
      </c>
      <c r="BO5" s="14">
        <v>0</v>
      </c>
      <c r="BP5" s="14">
        <v>0</v>
      </c>
    </row>
    <row r="6" spans="1:68" ht="15.75" customHeight="1" x14ac:dyDescent="0.3">
      <c r="A6" s="29"/>
      <c r="B6" s="6" t="s">
        <v>20</v>
      </c>
      <c r="C6" s="12">
        <v>3</v>
      </c>
      <c r="D6" s="12">
        <v>280</v>
      </c>
      <c r="E6" s="15"/>
      <c r="F6" s="12">
        <v>101</v>
      </c>
      <c r="G6" s="12">
        <v>12</v>
      </c>
      <c r="H6" s="12">
        <v>2</v>
      </c>
      <c r="I6" s="12">
        <v>3</v>
      </c>
      <c r="J6" s="12">
        <v>82</v>
      </c>
      <c r="K6" s="12">
        <v>22</v>
      </c>
      <c r="L6" s="12">
        <v>15</v>
      </c>
      <c r="M6" s="12">
        <v>7</v>
      </c>
      <c r="N6" s="12">
        <v>5</v>
      </c>
      <c r="O6" s="12">
        <v>295</v>
      </c>
      <c r="P6" s="13"/>
      <c r="Q6" s="12">
        <v>89</v>
      </c>
      <c r="R6" s="12">
        <v>16</v>
      </c>
      <c r="S6" s="12">
        <v>5</v>
      </c>
      <c r="T6" s="12">
        <v>4</v>
      </c>
      <c r="U6" s="12">
        <v>89</v>
      </c>
      <c r="V6" s="12">
        <v>4</v>
      </c>
      <c r="W6" s="12">
        <v>12</v>
      </c>
      <c r="X6" s="13"/>
      <c r="Y6" s="12">
        <v>11</v>
      </c>
      <c r="Z6" s="12">
        <v>303</v>
      </c>
      <c r="AA6" s="12">
        <v>1</v>
      </c>
      <c r="AB6" s="12">
        <v>87</v>
      </c>
      <c r="AC6" s="12">
        <v>25</v>
      </c>
      <c r="AD6" s="12">
        <v>3</v>
      </c>
      <c r="AE6" s="12">
        <v>7</v>
      </c>
      <c r="AF6" s="12">
        <v>63</v>
      </c>
      <c r="AG6" s="12">
        <v>7</v>
      </c>
      <c r="AH6" s="12">
        <v>12</v>
      </c>
      <c r="AI6" s="12">
        <v>6</v>
      </c>
      <c r="AJ6" s="12">
        <v>4</v>
      </c>
      <c r="AK6" s="12">
        <v>104</v>
      </c>
      <c r="AL6" s="13"/>
      <c r="AM6" s="12">
        <v>56</v>
      </c>
      <c r="AN6" s="12">
        <v>32</v>
      </c>
      <c r="AO6" s="12">
        <v>5</v>
      </c>
      <c r="AP6" s="12">
        <v>4</v>
      </c>
      <c r="AQ6" s="12">
        <v>19</v>
      </c>
      <c r="AR6" s="12">
        <v>1</v>
      </c>
      <c r="AS6" s="12">
        <v>4</v>
      </c>
      <c r="AT6" s="12">
        <v>1</v>
      </c>
      <c r="AU6" s="14">
        <f t="shared" ref="AU6:AV6" si="2">N6/C6-1</f>
        <v>0.66666666666666674</v>
      </c>
      <c r="AV6" s="14">
        <f t="shared" si="2"/>
        <v>5.3571428571428603E-2</v>
      </c>
      <c r="AW6" s="14">
        <v>0</v>
      </c>
      <c r="AX6" s="14">
        <f t="shared" ref="AX6:BG6" si="3">Q6/F6-1</f>
        <v>-0.11881188118811881</v>
      </c>
      <c r="AY6" s="14">
        <f t="shared" si="3"/>
        <v>0.33333333333333326</v>
      </c>
      <c r="AZ6" s="14">
        <f t="shared" si="3"/>
        <v>1.5</v>
      </c>
      <c r="BA6" s="14">
        <f t="shared" si="3"/>
        <v>0.33333333333333326</v>
      </c>
      <c r="BB6" s="14">
        <f t="shared" si="3"/>
        <v>8.5365853658536661E-2</v>
      </c>
      <c r="BC6" s="14">
        <f t="shared" si="3"/>
        <v>-0.81818181818181812</v>
      </c>
      <c r="BD6" s="14">
        <f t="shared" si="3"/>
        <v>-0.19999999999999996</v>
      </c>
      <c r="BE6" s="14">
        <f t="shared" si="3"/>
        <v>-1</v>
      </c>
      <c r="BF6" s="14">
        <f t="shared" si="3"/>
        <v>1.2000000000000002</v>
      </c>
      <c r="BG6" s="14">
        <f t="shared" si="3"/>
        <v>2.7118644067796627E-2</v>
      </c>
      <c r="BH6" s="14">
        <v>0</v>
      </c>
      <c r="BI6" s="14">
        <f t="shared" ref="BI6:BO6" si="4">AB6/Q6-1</f>
        <v>-2.2471910112359605E-2</v>
      </c>
      <c r="BJ6" s="14">
        <f t="shared" si="4"/>
        <v>0.5625</v>
      </c>
      <c r="BK6" s="14">
        <f t="shared" si="4"/>
        <v>-0.4</v>
      </c>
      <c r="BL6" s="14">
        <f t="shared" si="4"/>
        <v>0.75</v>
      </c>
      <c r="BM6" s="14">
        <f t="shared" si="4"/>
        <v>-0.2921348314606742</v>
      </c>
      <c r="BN6" s="14">
        <f t="shared" si="4"/>
        <v>0.75</v>
      </c>
      <c r="BO6" s="14">
        <f t="shared" si="4"/>
        <v>0</v>
      </c>
      <c r="BP6" s="14">
        <v>0</v>
      </c>
    </row>
    <row r="7" spans="1:68" ht="15.75" customHeight="1" x14ac:dyDescent="0.3">
      <c r="A7" s="29"/>
      <c r="B7" s="6" t="s">
        <v>21</v>
      </c>
      <c r="C7" s="15"/>
      <c r="D7" s="12">
        <v>20</v>
      </c>
      <c r="E7" s="12">
        <v>1</v>
      </c>
      <c r="F7" s="12">
        <v>25</v>
      </c>
      <c r="G7" s="12">
        <v>1</v>
      </c>
      <c r="H7" s="12">
        <v>3</v>
      </c>
      <c r="I7" s="13"/>
      <c r="J7" s="12">
        <v>2</v>
      </c>
      <c r="K7" s="12">
        <v>1</v>
      </c>
      <c r="L7" s="12">
        <v>2</v>
      </c>
      <c r="M7" s="12">
        <v>1</v>
      </c>
      <c r="N7" s="13"/>
      <c r="O7" s="12">
        <v>36</v>
      </c>
      <c r="P7" s="13"/>
      <c r="Q7" s="12">
        <v>34</v>
      </c>
      <c r="R7" s="13"/>
      <c r="S7" s="12">
        <v>1</v>
      </c>
      <c r="T7" s="13"/>
      <c r="U7" s="12">
        <v>2</v>
      </c>
      <c r="V7" s="12">
        <v>1</v>
      </c>
      <c r="W7" s="12">
        <v>3</v>
      </c>
      <c r="X7" s="12">
        <v>1</v>
      </c>
      <c r="Y7" s="13"/>
      <c r="Z7" s="12">
        <v>9</v>
      </c>
      <c r="AA7" s="13"/>
      <c r="AB7" s="12">
        <v>35</v>
      </c>
      <c r="AC7" s="13"/>
      <c r="AD7" s="12">
        <v>4</v>
      </c>
      <c r="AE7" s="12">
        <v>2</v>
      </c>
      <c r="AF7" s="12">
        <v>2</v>
      </c>
      <c r="AG7" s="13"/>
      <c r="AH7" s="12">
        <v>1</v>
      </c>
      <c r="AI7" s="12">
        <v>1</v>
      </c>
      <c r="AJ7" s="13"/>
      <c r="AK7" s="12">
        <v>13</v>
      </c>
      <c r="AL7" s="12">
        <v>1</v>
      </c>
      <c r="AM7" s="12">
        <v>20</v>
      </c>
      <c r="AN7" s="12">
        <v>1</v>
      </c>
      <c r="AO7" s="12">
        <v>3</v>
      </c>
      <c r="AP7" s="12">
        <v>1</v>
      </c>
      <c r="AQ7" s="12">
        <v>1</v>
      </c>
      <c r="AR7" s="13"/>
      <c r="AS7" s="13"/>
      <c r="AT7" s="13"/>
      <c r="AU7" s="14">
        <v>0</v>
      </c>
      <c r="AV7" s="14">
        <f t="shared" ref="AV7:AZ7" si="5">O7/D7-1</f>
        <v>0.8</v>
      </c>
      <c r="AW7" s="14">
        <f t="shared" si="5"/>
        <v>-1</v>
      </c>
      <c r="AX7" s="14">
        <f t="shared" si="5"/>
        <v>0.3600000000000001</v>
      </c>
      <c r="AY7" s="14">
        <f t="shared" si="5"/>
        <v>-1</v>
      </c>
      <c r="AZ7" s="14">
        <f t="shared" si="5"/>
        <v>-0.66666666666666674</v>
      </c>
      <c r="BA7" s="14">
        <v>0</v>
      </c>
      <c r="BB7" s="14">
        <f t="shared" ref="BB7:BE7" si="6">U7/J7-1</f>
        <v>0</v>
      </c>
      <c r="BC7" s="14">
        <f t="shared" si="6"/>
        <v>0</v>
      </c>
      <c r="BD7" s="14">
        <f t="shared" si="6"/>
        <v>0.5</v>
      </c>
      <c r="BE7" s="14">
        <f t="shared" si="6"/>
        <v>0</v>
      </c>
      <c r="BF7" s="14">
        <v>0</v>
      </c>
      <c r="BG7" s="14">
        <f>Z7/O7-1</f>
        <v>-0.75</v>
      </c>
      <c r="BH7" s="14">
        <v>0</v>
      </c>
      <c r="BI7" s="14">
        <f t="shared" ref="BI7:BI12" si="7">AB7/Q7-1</f>
        <v>2.9411764705882248E-2</v>
      </c>
      <c r="BJ7" s="14">
        <v>0</v>
      </c>
      <c r="BK7" s="14">
        <f>AD7/S7-1</f>
        <v>3</v>
      </c>
      <c r="BL7" s="14">
        <v>0</v>
      </c>
      <c r="BM7" s="14">
        <f t="shared" ref="BM7:BP7" si="8">AF7/U7-1</f>
        <v>0</v>
      </c>
      <c r="BN7" s="14">
        <f t="shared" si="8"/>
        <v>-1</v>
      </c>
      <c r="BO7" s="14">
        <f t="shared" si="8"/>
        <v>-0.66666666666666674</v>
      </c>
      <c r="BP7" s="14">
        <f t="shared" si="8"/>
        <v>0</v>
      </c>
    </row>
    <row r="8" spans="1:68" ht="15.75" customHeight="1" x14ac:dyDescent="0.3">
      <c r="A8" s="29"/>
      <c r="B8" s="6" t="s">
        <v>22</v>
      </c>
      <c r="C8" s="13"/>
      <c r="D8" s="12">
        <v>111</v>
      </c>
      <c r="E8" s="12">
        <v>3</v>
      </c>
      <c r="F8" s="12">
        <v>63</v>
      </c>
      <c r="G8" s="12">
        <v>4</v>
      </c>
      <c r="H8" s="12">
        <v>2</v>
      </c>
      <c r="I8" s="12">
        <v>9</v>
      </c>
      <c r="J8" s="12">
        <v>19</v>
      </c>
      <c r="K8" s="12">
        <v>3</v>
      </c>
      <c r="L8" s="13"/>
      <c r="M8" s="13"/>
      <c r="N8" s="12">
        <v>4</v>
      </c>
      <c r="O8" s="12">
        <v>150</v>
      </c>
      <c r="P8" s="13"/>
      <c r="Q8" s="12">
        <v>40</v>
      </c>
      <c r="R8" s="12">
        <v>3</v>
      </c>
      <c r="S8" s="12">
        <v>7</v>
      </c>
      <c r="T8" s="12">
        <v>3</v>
      </c>
      <c r="U8" s="12">
        <v>9</v>
      </c>
      <c r="V8" s="12">
        <v>1</v>
      </c>
      <c r="W8" s="12">
        <v>2</v>
      </c>
      <c r="X8" s="13"/>
      <c r="Y8" s="12">
        <v>3</v>
      </c>
      <c r="Z8" s="12">
        <v>168</v>
      </c>
      <c r="AA8" s="12">
        <v>5</v>
      </c>
      <c r="AB8" s="12">
        <v>70</v>
      </c>
      <c r="AC8" s="12">
        <v>22</v>
      </c>
      <c r="AD8" s="12">
        <v>14</v>
      </c>
      <c r="AE8" s="12">
        <v>1</v>
      </c>
      <c r="AF8" s="12">
        <v>12</v>
      </c>
      <c r="AG8" s="12">
        <v>3</v>
      </c>
      <c r="AH8" s="12">
        <v>2</v>
      </c>
      <c r="AI8" s="12">
        <v>2</v>
      </c>
      <c r="AJ8" s="13"/>
      <c r="AK8" s="12">
        <v>32</v>
      </c>
      <c r="AL8" s="12">
        <v>1</v>
      </c>
      <c r="AM8" s="12">
        <v>27</v>
      </c>
      <c r="AN8" s="12">
        <v>9</v>
      </c>
      <c r="AO8" s="12">
        <v>2</v>
      </c>
      <c r="AP8" s="12">
        <v>1</v>
      </c>
      <c r="AQ8" s="12">
        <v>6</v>
      </c>
      <c r="AR8" s="12">
        <v>1</v>
      </c>
      <c r="AS8" s="12">
        <v>1</v>
      </c>
      <c r="AT8" s="13"/>
      <c r="AU8" s="14">
        <v>0</v>
      </c>
      <c r="AV8" s="14">
        <f t="shared" ref="AV8:BC8" si="9">O8/D8-1</f>
        <v>0.35135135135135132</v>
      </c>
      <c r="AW8" s="14">
        <f t="shared" si="9"/>
        <v>-1</v>
      </c>
      <c r="AX8" s="14">
        <f t="shared" si="9"/>
        <v>-0.36507936507936511</v>
      </c>
      <c r="AY8" s="14">
        <f t="shared" si="9"/>
        <v>-0.25</v>
      </c>
      <c r="AZ8" s="14">
        <f t="shared" si="9"/>
        <v>2.5</v>
      </c>
      <c r="BA8" s="14">
        <f t="shared" si="9"/>
        <v>-0.66666666666666674</v>
      </c>
      <c r="BB8" s="14">
        <f t="shared" si="9"/>
        <v>-0.52631578947368429</v>
      </c>
      <c r="BC8" s="14">
        <f t="shared" si="9"/>
        <v>-0.66666666666666674</v>
      </c>
      <c r="BD8" s="14">
        <v>0</v>
      </c>
      <c r="BE8" s="14">
        <v>0</v>
      </c>
      <c r="BF8" s="14">
        <f t="shared" ref="BF8:BG8" si="10">Y8/N8-1</f>
        <v>-0.25</v>
      </c>
      <c r="BG8" s="14">
        <f t="shared" si="10"/>
        <v>0.12000000000000011</v>
      </c>
      <c r="BH8" s="14">
        <v>0</v>
      </c>
      <c r="BI8" s="14">
        <f t="shared" si="7"/>
        <v>0.75</v>
      </c>
      <c r="BJ8" s="14">
        <f t="shared" ref="BJ8:BO8" si="11">AC8/R8-1</f>
        <v>6.333333333333333</v>
      </c>
      <c r="BK8" s="14">
        <f t="shared" si="11"/>
        <v>1</v>
      </c>
      <c r="BL8" s="14">
        <f t="shared" si="11"/>
        <v>-0.66666666666666674</v>
      </c>
      <c r="BM8" s="14">
        <f t="shared" si="11"/>
        <v>0.33333333333333326</v>
      </c>
      <c r="BN8" s="14">
        <f t="shared" si="11"/>
        <v>2</v>
      </c>
      <c r="BO8" s="14">
        <f t="shared" si="11"/>
        <v>0</v>
      </c>
      <c r="BP8" s="14">
        <v>0</v>
      </c>
    </row>
    <row r="9" spans="1:68" ht="15.75" customHeight="1" x14ac:dyDescent="0.3">
      <c r="A9" s="29"/>
      <c r="B9" s="6" t="s">
        <v>23</v>
      </c>
      <c r="C9" s="13"/>
      <c r="D9" s="12">
        <v>67</v>
      </c>
      <c r="E9" s="12">
        <v>1</v>
      </c>
      <c r="F9" s="12">
        <v>23</v>
      </c>
      <c r="G9" s="12">
        <v>2</v>
      </c>
      <c r="H9" s="13"/>
      <c r="I9" s="13"/>
      <c r="J9" s="12">
        <v>2</v>
      </c>
      <c r="K9" s="12">
        <v>3</v>
      </c>
      <c r="L9" s="13"/>
      <c r="M9" s="13"/>
      <c r="N9" s="12">
        <v>2</v>
      </c>
      <c r="O9" s="12">
        <v>105</v>
      </c>
      <c r="P9" s="13"/>
      <c r="Q9" s="12">
        <v>17</v>
      </c>
      <c r="R9" s="13"/>
      <c r="S9" s="12">
        <v>1</v>
      </c>
      <c r="T9" s="12">
        <v>2</v>
      </c>
      <c r="U9" s="12">
        <v>4</v>
      </c>
      <c r="V9" s="12">
        <v>2</v>
      </c>
      <c r="W9" s="12">
        <v>1</v>
      </c>
      <c r="X9" s="13"/>
      <c r="Y9" s="13"/>
      <c r="Z9" s="12">
        <v>68</v>
      </c>
      <c r="AA9" s="13"/>
      <c r="AB9" s="12">
        <v>17</v>
      </c>
      <c r="AC9" s="12">
        <v>3</v>
      </c>
      <c r="AD9" s="12">
        <v>1</v>
      </c>
      <c r="AE9" s="12">
        <v>3</v>
      </c>
      <c r="AF9" s="12">
        <v>3</v>
      </c>
      <c r="AG9" s="13"/>
      <c r="AH9" s="12">
        <v>1</v>
      </c>
      <c r="AI9" s="13"/>
      <c r="AJ9" s="13"/>
      <c r="AK9" s="12">
        <v>24</v>
      </c>
      <c r="AL9" s="13"/>
      <c r="AM9" s="12">
        <v>9</v>
      </c>
      <c r="AN9" s="12">
        <v>4</v>
      </c>
      <c r="AO9" s="13"/>
      <c r="AP9" s="13"/>
      <c r="AQ9" s="12">
        <v>2</v>
      </c>
      <c r="AR9" s="12">
        <v>1</v>
      </c>
      <c r="AS9" s="13"/>
      <c r="AT9" s="13"/>
      <c r="AU9" s="14">
        <v>0</v>
      </c>
      <c r="AV9" s="14">
        <f t="shared" ref="AV9:AY9" si="12">O9/D9-1</f>
        <v>0.56716417910447769</v>
      </c>
      <c r="AW9" s="14">
        <f t="shared" si="12"/>
        <v>-1</v>
      </c>
      <c r="AX9" s="14">
        <f t="shared" si="12"/>
        <v>-0.26086956521739135</v>
      </c>
      <c r="AY9" s="14">
        <f t="shared" si="12"/>
        <v>-1</v>
      </c>
      <c r="AZ9" s="14">
        <v>0</v>
      </c>
      <c r="BA9" s="14">
        <v>0</v>
      </c>
      <c r="BB9" s="14">
        <f t="shared" ref="BB9:BC9" si="13">U9/J9-1</f>
        <v>1</v>
      </c>
      <c r="BC9" s="14">
        <f t="shared" si="13"/>
        <v>-0.33333333333333337</v>
      </c>
      <c r="BD9" s="14">
        <v>0</v>
      </c>
      <c r="BE9" s="14">
        <v>0</v>
      </c>
      <c r="BF9" s="14">
        <f t="shared" ref="BF9:BG9" si="14">Y9/N9-1</f>
        <v>-1</v>
      </c>
      <c r="BG9" s="14">
        <f t="shared" si="14"/>
        <v>-0.35238095238095235</v>
      </c>
      <c r="BH9" s="14">
        <v>0</v>
      </c>
      <c r="BI9" s="14">
        <f t="shared" si="7"/>
        <v>0</v>
      </c>
      <c r="BJ9" s="14">
        <v>0</v>
      </c>
      <c r="BK9" s="14">
        <f t="shared" ref="BK9:BO9" si="15">AD9/S9-1</f>
        <v>0</v>
      </c>
      <c r="BL9" s="14">
        <f t="shared" si="15"/>
        <v>0.5</v>
      </c>
      <c r="BM9" s="14">
        <f t="shared" si="15"/>
        <v>-0.25</v>
      </c>
      <c r="BN9" s="14">
        <f t="shared" si="15"/>
        <v>-1</v>
      </c>
      <c r="BO9" s="14">
        <f t="shared" si="15"/>
        <v>0</v>
      </c>
      <c r="BP9" s="14">
        <v>0</v>
      </c>
    </row>
    <row r="10" spans="1:68" ht="15.75" customHeight="1" x14ac:dyDescent="0.3">
      <c r="A10" s="29"/>
      <c r="B10" s="6" t="s">
        <v>24</v>
      </c>
      <c r="C10" s="7">
        <v>1</v>
      </c>
      <c r="D10" s="7">
        <v>83</v>
      </c>
      <c r="E10" s="16"/>
      <c r="F10" s="7">
        <v>229</v>
      </c>
      <c r="G10" s="7">
        <v>37</v>
      </c>
      <c r="H10" s="13"/>
      <c r="I10" s="13"/>
      <c r="J10" s="12">
        <v>9</v>
      </c>
      <c r="K10" s="13"/>
      <c r="L10" s="13"/>
      <c r="M10" s="12">
        <v>1</v>
      </c>
      <c r="N10" s="13"/>
      <c r="O10" s="12">
        <v>83</v>
      </c>
      <c r="P10" s="13"/>
      <c r="Q10" s="12">
        <v>140</v>
      </c>
      <c r="R10" s="12">
        <v>51</v>
      </c>
      <c r="S10" s="13"/>
      <c r="T10" s="12">
        <v>1</v>
      </c>
      <c r="U10" s="12">
        <v>2</v>
      </c>
      <c r="V10" s="13"/>
      <c r="W10" s="12">
        <v>2</v>
      </c>
      <c r="X10" s="13"/>
      <c r="Y10" s="17">
        <v>1</v>
      </c>
      <c r="Z10" s="12">
        <v>71</v>
      </c>
      <c r="AA10" s="12">
        <v>2</v>
      </c>
      <c r="AB10" s="12">
        <v>151</v>
      </c>
      <c r="AC10" s="12">
        <v>34</v>
      </c>
      <c r="AD10" s="13"/>
      <c r="AE10" s="12">
        <v>1</v>
      </c>
      <c r="AF10" s="12">
        <v>10</v>
      </c>
      <c r="AG10" s="13"/>
      <c r="AH10" s="12">
        <v>1</v>
      </c>
      <c r="AI10" s="13"/>
      <c r="AJ10" s="12"/>
      <c r="AK10" s="12">
        <v>24</v>
      </c>
      <c r="AL10" s="13"/>
      <c r="AM10" s="12">
        <v>72</v>
      </c>
      <c r="AN10" s="12">
        <v>6</v>
      </c>
      <c r="AO10" s="13"/>
      <c r="AP10" s="13"/>
      <c r="AQ10" s="12">
        <v>3</v>
      </c>
      <c r="AR10" s="13"/>
      <c r="AS10" s="13"/>
      <c r="AT10" s="13"/>
      <c r="AU10" s="14">
        <v>0</v>
      </c>
      <c r="AV10" s="14">
        <f>O10/D10-1</f>
        <v>0</v>
      </c>
      <c r="AW10" s="14">
        <v>0</v>
      </c>
      <c r="AX10" s="14">
        <f>Q10/G10-1</f>
        <v>2.7837837837837838</v>
      </c>
      <c r="AY10" s="14">
        <v>0</v>
      </c>
      <c r="AZ10" s="14">
        <v>0</v>
      </c>
      <c r="BA10" s="14">
        <v>0</v>
      </c>
      <c r="BB10" s="14">
        <f t="shared" ref="BB10:BB11" si="16">U10/J10-1</f>
        <v>-0.77777777777777779</v>
      </c>
      <c r="BC10" s="14">
        <v>0</v>
      </c>
      <c r="BD10" s="14">
        <v>0</v>
      </c>
      <c r="BE10" s="14">
        <f>X10/M10-1</f>
        <v>-1</v>
      </c>
      <c r="BF10" s="14">
        <v>0</v>
      </c>
      <c r="BG10" s="14">
        <f t="shared" ref="BG10:BG15" si="17">Z10/O10-1</f>
        <v>-0.14457831325301207</v>
      </c>
      <c r="BH10" s="14">
        <v>0</v>
      </c>
      <c r="BI10" s="14">
        <f t="shared" si="7"/>
        <v>7.8571428571428514E-2</v>
      </c>
      <c r="BJ10" s="14">
        <f t="shared" ref="BJ10:BJ12" si="18">AC10/R10-1</f>
        <v>-0.33333333333333337</v>
      </c>
      <c r="BK10" s="14">
        <v>0</v>
      </c>
      <c r="BL10" s="14">
        <f t="shared" ref="BL10:BM10" si="19">AE10/T10-1</f>
        <v>0</v>
      </c>
      <c r="BM10" s="14">
        <f t="shared" si="19"/>
        <v>4</v>
      </c>
      <c r="BN10" s="14">
        <v>0</v>
      </c>
      <c r="BO10" s="14">
        <f>AH10/W10-1</f>
        <v>-0.5</v>
      </c>
      <c r="BP10" s="14">
        <v>0</v>
      </c>
    </row>
    <row r="11" spans="1:68" ht="15.75" customHeight="1" x14ac:dyDescent="0.3">
      <c r="A11" s="29"/>
      <c r="B11" s="6" t="s">
        <v>25</v>
      </c>
      <c r="C11" s="12">
        <v>1</v>
      </c>
      <c r="D11" s="12">
        <v>27</v>
      </c>
      <c r="E11" s="13"/>
      <c r="F11" s="12">
        <v>13</v>
      </c>
      <c r="G11" s="12">
        <v>2</v>
      </c>
      <c r="H11" s="12">
        <v>2</v>
      </c>
      <c r="I11" s="13"/>
      <c r="J11" s="12">
        <v>4</v>
      </c>
      <c r="K11" s="13"/>
      <c r="L11" s="13"/>
      <c r="M11" s="13"/>
      <c r="N11" s="13"/>
      <c r="O11" s="12">
        <v>35</v>
      </c>
      <c r="P11" s="13"/>
      <c r="Q11" s="12">
        <v>13</v>
      </c>
      <c r="R11" s="12">
        <v>1</v>
      </c>
      <c r="S11" s="12">
        <v>3</v>
      </c>
      <c r="T11" s="13"/>
      <c r="U11" s="12">
        <v>4</v>
      </c>
      <c r="V11" s="12">
        <v>7</v>
      </c>
      <c r="W11" s="12">
        <v>2</v>
      </c>
      <c r="X11" s="12">
        <v>2</v>
      </c>
      <c r="Y11" s="12">
        <v>1</v>
      </c>
      <c r="Z11" s="12">
        <v>30</v>
      </c>
      <c r="AA11" s="13"/>
      <c r="AB11" s="12">
        <v>24</v>
      </c>
      <c r="AC11" s="12">
        <v>3</v>
      </c>
      <c r="AD11" s="12">
        <v>4</v>
      </c>
      <c r="AE11" s="12">
        <v>3</v>
      </c>
      <c r="AF11" s="12">
        <v>5</v>
      </c>
      <c r="AG11" s="12">
        <v>3</v>
      </c>
      <c r="AH11" s="12">
        <v>1</v>
      </c>
      <c r="AI11" s="13"/>
      <c r="AJ11" s="12">
        <v>1</v>
      </c>
      <c r="AK11" s="12">
        <v>15</v>
      </c>
      <c r="AL11" s="13"/>
      <c r="AM11" s="12">
        <v>7</v>
      </c>
      <c r="AN11" s="13"/>
      <c r="AO11" s="12">
        <v>1</v>
      </c>
      <c r="AP11" s="13"/>
      <c r="AQ11" s="13"/>
      <c r="AR11" s="13"/>
      <c r="AS11" s="13"/>
      <c r="AT11" s="13"/>
      <c r="AU11" s="14">
        <f t="shared" ref="AU11:AV11" si="20">N11/C11-1</f>
        <v>-1</v>
      </c>
      <c r="AV11" s="14">
        <f t="shared" si="20"/>
        <v>0.29629629629629628</v>
      </c>
      <c r="AW11" s="14">
        <v>0</v>
      </c>
      <c r="AX11" s="14">
        <f t="shared" ref="AX11:AZ11" si="21">Q11/F11-1</f>
        <v>0</v>
      </c>
      <c r="AY11" s="14">
        <f t="shared" si="21"/>
        <v>-0.5</v>
      </c>
      <c r="AZ11" s="14">
        <f t="shared" si="21"/>
        <v>0.5</v>
      </c>
      <c r="BA11" s="14">
        <v>0</v>
      </c>
      <c r="BB11" s="14">
        <f t="shared" si="16"/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f t="shared" si="17"/>
        <v>-0.1428571428571429</v>
      </c>
      <c r="BH11" s="14">
        <v>0</v>
      </c>
      <c r="BI11" s="14">
        <f t="shared" si="7"/>
        <v>0.84615384615384626</v>
      </c>
      <c r="BJ11" s="14">
        <f t="shared" si="18"/>
        <v>2</v>
      </c>
      <c r="BK11" s="14">
        <f t="shared" ref="BK11:BK12" si="22">AD11/S11-1</f>
        <v>0.33333333333333326</v>
      </c>
      <c r="BL11" s="14">
        <v>0</v>
      </c>
      <c r="BM11" s="14">
        <f t="shared" ref="BM11:BP11" si="23">AF11/U11-1</f>
        <v>0.25</v>
      </c>
      <c r="BN11" s="14">
        <f t="shared" si="23"/>
        <v>-0.5714285714285714</v>
      </c>
      <c r="BO11" s="14">
        <f t="shared" si="23"/>
        <v>-0.5</v>
      </c>
      <c r="BP11" s="14">
        <f t="shared" si="23"/>
        <v>-1</v>
      </c>
    </row>
    <row r="12" spans="1:68" ht="15.75" customHeight="1" x14ac:dyDescent="0.3">
      <c r="A12" s="29"/>
      <c r="B12" s="6" t="s">
        <v>26</v>
      </c>
      <c r="C12" s="13"/>
      <c r="D12" s="12">
        <v>120</v>
      </c>
      <c r="E12" s="13"/>
      <c r="F12" s="12">
        <v>74</v>
      </c>
      <c r="G12" s="12">
        <v>1</v>
      </c>
      <c r="H12" s="13"/>
      <c r="I12" s="12">
        <v>1</v>
      </c>
      <c r="J12" s="12">
        <v>7</v>
      </c>
      <c r="K12" s="13"/>
      <c r="L12" s="13"/>
      <c r="M12" s="13"/>
      <c r="N12" s="13"/>
      <c r="O12" s="12">
        <v>132</v>
      </c>
      <c r="P12" s="13"/>
      <c r="Q12" s="12">
        <v>80</v>
      </c>
      <c r="R12" s="12">
        <v>3</v>
      </c>
      <c r="S12" s="12">
        <v>1</v>
      </c>
      <c r="T12" s="12">
        <v>1</v>
      </c>
      <c r="U12" s="12">
        <v>1</v>
      </c>
      <c r="V12" s="13"/>
      <c r="W12" s="13"/>
      <c r="X12" s="13"/>
      <c r="Y12" s="12">
        <v>4</v>
      </c>
      <c r="Z12" s="12">
        <v>90</v>
      </c>
      <c r="AA12" s="13"/>
      <c r="AB12" s="12">
        <v>44</v>
      </c>
      <c r="AC12" s="12">
        <v>3</v>
      </c>
      <c r="AD12" s="12">
        <v>1</v>
      </c>
      <c r="AE12" s="13"/>
      <c r="AF12" s="12">
        <v>1</v>
      </c>
      <c r="AG12" s="13"/>
      <c r="AH12" s="13"/>
      <c r="AI12" s="13"/>
      <c r="AJ12" s="13"/>
      <c r="AK12" s="12">
        <v>33</v>
      </c>
      <c r="AL12" s="13"/>
      <c r="AM12" s="12">
        <v>27</v>
      </c>
      <c r="AN12" s="12">
        <v>1</v>
      </c>
      <c r="AO12" s="7"/>
      <c r="AP12" s="7"/>
      <c r="AQ12" s="7"/>
      <c r="AR12" s="7"/>
      <c r="AS12" s="7"/>
      <c r="AT12" s="7"/>
      <c r="AU12" s="14">
        <v>0</v>
      </c>
      <c r="AV12" s="14">
        <f t="shared" ref="AV12:AV15" si="24">O12/D12-1</f>
        <v>0.10000000000000009</v>
      </c>
      <c r="AW12" s="14">
        <v>0</v>
      </c>
      <c r="AX12" s="14">
        <f t="shared" ref="AX12:AY12" si="25">Q12/F12-1</f>
        <v>8.1081081081081141E-2</v>
      </c>
      <c r="AY12" s="14">
        <f t="shared" si="25"/>
        <v>2</v>
      </c>
      <c r="AZ12" s="14">
        <v>0</v>
      </c>
      <c r="BA12" s="14">
        <f t="shared" ref="BA12:BB12" si="26">T12/I12-1</f>
        <v>0</v>
      </c>
      <c r="BB12" s="14">
        <f t="shared" si="26"/>
        <v>-0.85714285714285721</v>
      </c>
      <c r="BC12" s="14">
        <v>0</v>
      </c>
      <c r="BD12" s="14">
        <v>0</v>
      </c>
      <c r="BE12" s="14">
        <v>0</v>
      </c>
      <c r="BF12" s="14">
        <v>0</v>
      </c>
      <c r="BG12" s="14">
        <f t="shared" si="17"/>
        <v>-0.31818181818181823</v>
      </c>
      <c r="BH12" s="14">
        <v>0</v>
      </c>
      <c r="BI12" s="14">
        <f t="shared" si="7"/>
        <v>-0.44999999999999996</v>
      </c>
      <c r="BJ12" s="14">
        <f t="shared" si="18"/>
        <v>0</v>
      </c>
      <c r="BK12" s="14">
        <f t="shared" si="22"/>
        <v>0</v>
      </c>
      <c r="BL12" s="14">
        <f t="shared" ref="BL12:BM12" si="27">AE12/T12-1</f>
        <v>-1</v>
      </c>
      <c r="BM12" s="14">
        <f t="shared" si="27"/>
        <v>0</v>
      </c>
      <c r="BN12" s="14">
        <v>0</v>
      </c>
      <c r="BO12" s="14">
        <v>0</v>
      </c>
      <c r="BP12" s="14">
        <v>0</v>
      </c>
    </row>
    <row r="13" spans="1:68" ht="15.75" customHeight="1" x14ac:dyDescent="0.3">
      <c r="A13" s="29"/>
      <c r="B13" s="6" t="s">
        <v>27</v>
      </c>
      <c r="C13" s="13"/>
      <c r="D13" s="12">
        <v>9</v>
      </c>
      <c r="E13" s="13"/>
      <c r="F13" s="12">
        <v>8</v>
      </c>
      <c r="G13" s="13"/>
      <c r="H13" s="13"/>
      <c r="I13" s="13"/>
      <c r="J13" s="12">
        <v>6</v>
      </c>
      <c r="K13" s="12">
        <v>3</v>
      </c>
      <c r="L13" s="12">
        <v>4</v>
      </c>
      <c r="M13" s="13"/>
      <c r="N13" s="13"/>
      <c r="O13" s="12">
        <v>26</v>
      </c>
      <c r="P13" s="12">
        <v>1</v>
      </c>
      <c r="Q13" s="12">
        <v>4</v>
      </c>
      <c r="R13" s="12">
        <v>1</v>
      </c>
      <c r="S13" s="13"/>
      <c r="T13" s="13"/>
      <c r="U13" s="12">
        <v>5</v>
      </c>
      <c r="V13" s="13"/>
      <c r="W13" s="12">
        <v>2</v>
      </c>
      <c r="X13" s="13"/>
      <c r="Y13" s="13"/>
      <c r="Z13" s="12">
        <v>29</v>
      </c>
      <c r="AA13" s="13"/>
      <c r="AB13" s="12">
        <v>4</v>
      </c>
      <c r="AC13" s="13"/>
      <c r="AD13" s="13"/>
      <c r="AE13" s="13"/>
      <c r="AF13" s="12">
        <v>4</v>
      </c>
      <c r="AG13" s="13"/>
      <c r="AH13" s="12">
        <v>4</v>
      </c>
      <c r="AI13" s="13"/>
      <c r="AJ13" s="13"/>
      <c r="AK13" s="12">
        <v>9</v>
      </c>
      <c r="AL13" s="13"/>
      <c r="AM13" s="12">
        <v>5</v>
      </c>
      <c r="AN13" s="13"/>
      <c r="AO13" s="12">
        <v>1</v>
      </c>
      <c r="AP13" s="13"/>
      <c r="AQ13" s="12">
        <v>2</v>
      </c>
      <c r="AR13" s="12">
        <v>1</v>
      </c>
      <c r="AS13" s="13"/>
      <c r="AT13" s="13"/>
      <c r="AU13" s="14">
        <v>0</v>
      </c>
      <c r="AV13" s="14">
        <f t="shared" si="24"/>
        <v>1.8888888888888888</v>
      </c>
      <c r="AW13" s="14">
        <v>0</v>
      </c>
      <c r="AX13" s="14">
        <f t="shared" ref="AX13:AX16" si="28">Q13/F13-1</f>
        <v>-0.5</v>
      </c>
      <c r="AY13" s="14">
        <v>0</v>
      </c>
      <c r="AZ13" s="14">
        <v>0</v>
      </c>
      <c r="BA13" s="14">
        <v>0</v>
      </c>
      <c r="BB13" s="14">
        <f t="shared" ref="BB13:BD13" si="29">U13/J13-1</f>
        <v>-0.16666666666666663</v>
      </c>
      <c r="BC13" s="14">
        <f t="shared" si="29"/>
        <v>-1</v>
      </c>
      <c r="BD13" s="14">
        <f t="shared" si="29"/>
        <v>-0.5</v>
      </c>
      <c r="BE13" s="14">
        <v>0</v>
      </c>
      <c r="BF13" s="14">
        <v>0</v>
      </c>
      <c r="BG13" s="14">
        <f t="shared" si="17"/>
        <v>0.11538461538461542</v>
      </c>
      <c r="BH13" s="14">
        <f t="shared" ref="BH13:BJ13" si="30">AA13/P13-1</f>
        <v>-1</v>
      </c>
      <c r="BI13" s="14">
        <f t="shared" si="30"/>
        <v>0</v>
      </c>
      <c r="BJ13" s="14">
        <f t="shared" si="30"/>
        <v>-1</v>
      </c>
      <c r="BK13" s="14">
        <v>0</v>
      </c>
      <c r="BL13" s="14">
        <v>0</v>
      </c>
      <c r="BM13" s="14">
        <f>AF13/U13-1</f>
        <v>-0.19999999999999996</v>
      </c>
      <c r="BN13" s="14">
        <v>0</v>
      </c>
      <c r="BO13" s="14">
        <f>AH13/W13-1</f>
        <v>1</v>
      </c>
      <c r="BP13" s="14">
        <v>0</v>
      </c>
    </row>
    <row r="14" spans="1:68" ht="15.75" customHeight="1" x14ac:dyDescent="0.3">
      <c r="A14" s="29"/>
      <c r="B14" s="6" t="s">
        <v>28</v>
      </c>
      <c r="C14" s="13"/>
      <c r="D14" s="12">
        <v>11</v>
      </c>
      <c r="E14" s="13"/>
      <c r="F14" s="12">
        <v>7</v>
      </c>
      <c r="G14" s="13"/>
      <c r="H14" s="13"/>
      <c r="I14" s="12">
        <v>2</v>
      </c>
      <c r="J14" s="12">
        <v>7</v>
      </c>
      <c r="K14" s="12">
        <v>3</v>
      </c>
      <c r="L14" s="13"/>
      <c r="M14" s="12">
        <v>2</v>
      </c>
      <c r="N14" s="13"/>
      <c r="O14" s="12">
        <v>28</v>
      </c>
      <c r="P14" s="13"/>
      <c r="Q14" s="12">
        <v>13</v>
      </c>
      <c r="R14" s="13"/>
      <c r="S14" s="13"/>
      <c r="T14" s="12">
        <v>2</v>
      </c>
      <c r="U14" s="12">
        <v>10</v>
      </c>
      <c r="V14" s="12">
        <v>3</v>
      </c>
      <c r="W14" s="12">
        <v>3</v>
      </c>
      <c r="X14" s="12">
        <v>1</v>
      </c>
      <c r="Y14" s="12">
        <v>1</v>
      </c>
      <c r="Z14" s="12">
        <v>29</v>
      </c>
      <c r="AA14" s="13"/>
      <c r="AB14" s="12">
        <v>10</v>
      </c>
      <c r="AC14" s="13"/>
      <c r="AD14" s="12">
        <v>1</v>
      </c>
      <c r="AE14" s="13"/>
      <c r="AF14" s="12">
        <v>3</v>
      </c>
      <c r="AG14" s="12">
        <v>2</v>
      </c>
      <c r="AH14" s="12">
        <v>4</v>
      </c>
      <c r="AI14" s="13"/>
      <c r="AJ14" s="13"/>
      <c r="AK14" s="12">
        <v>19</v>
      </c>
      <c r="AL14" s="13"/>
      <c r="AM14" s="12">
        <v>4</v>
      </c>
      <c r="AN14" s="13"/>
      <c r="AO14" s="13"/>
      <c r="AP14" s="13"/>
      <c r="AQ14" s="12">
        <v>1</v>
      </c>
      <c r="AR14" s="13"/>
      <c r="AS14" s="12">
        <v>2</v>
      </c>
      <c r="AT14" s="13"/>
      <c r="AU14" s="14">
        <v>0</v>
      </c>
      <c r="AV14" s="14">
        <f t="shared" si="24"/>
        <v>1.5454545454545454</v>
      </c>
      <c r="AW14" s="14">
        <v>0</v>
      </c>
      <c r="AX14" s="14">
        <f t="shared" si="28"/>
        <v>0.85714285714285721</v>
      </c>
      <c r="AY14" s="14">
        <v>0</v>
      </c>
      <c r="AZ14" s="14">
        <v>0</v>
      </c>
      <c r="BA14" s="14">
        <f t="shared" ref="BA14:BC14" si="31">T14/I14-1</f>
        <v>0</v>
      </c>
      <c r="BB14" s="14">
        <f t="shared" si="31"/>
        <v>0.4285714285714286</v>
      </c>
      <c r="BC14" s="14">
        <f t="shared" si="31"/>
        <v>0</v>
      </c>
      <c r="BD14" s="14">
        <v>0</v>
      </c>
      <c r="BE14" s="14">
        <f>X14/M14-1</f>
        <v>-0.5</v>
      </c>
      <c r="BF14" s="14">
        <v>0</v>
      </c>
      <c r="BG14" s="14">
        <f t="shared" si="17"/>
        <v>3.5714285714285809E-2</v>
      </c>
      <c r="BH14" s="14">
        <v>0</v>
      </c>
      <c r="BI14" s="14">
        <f t="shared" ref="BI14:BI16" si="32">AB14/Q14-1</f>
        <v>-0.23076923076923073</v>
      </c>
      <c r="BJ14" s="14">
        <v>0</v>
      </c>
      <c r="BK14" s="14">
        <v>0</v>
      </c>
      <c r="BL14" s="14">
        <f t="shared" ref="BL14:BP14" si="33">AE14/T14-1</f>
        <v>-1</v>
      </c>
      <c r="BM14" s="14">
        <f t="shared" si="33"/>
        <v>-0.7</v>
      </c>
      <c r="BN14" s="14">
        <f t="shared" si="33"/>
        <v>-0.33333333333333337</v>
      </c>
      <c r="BO14" s="14">
        <f t="shared" si="33"/>
        <v>0.33333333333333326</v>
      </c>
      <c r="BP14" s="14">
        <f t="shared" si="33"/>
        <v>-1</v>
      </c>
    </row>
    <row r="15" spans="1:68" ht="15.75" customHeight="1" x14ac:dyDescent="0.3">
      <c r="A15" s="29"/>
      <c r="B15" s="6" t="s">
        <v>29</v>
      </c>
      <c r="C15" s="13"/>
      <c r="D15" s="12">
        <v>58</v>
      </c>
      <c r="E15" s="13"/>
      <c r="F15" s="12">
        <v>33</v>
      </c>
      <c r="G15" s="12">
        <v>4</v>
      </c>
      <c r="H15" s="18">
        <v>5</v>
      </c>
      <c r="I15" s="18">
        <v>1</v>
      </c>
      <c r="J15" s="18">
        <v>7</v>
      </c>
      <c r="K15" s="19"/>
      <c r="L15" s="18">
        <v>4</v>
      </c>
      <c r="M15" s="18">
        <v>3</v>
      </c>
      <c r="N15" s="13"/>
      <c r="O15" s="12">
        <v>40</v>
      </c>
      <c r="P15" s="13"/>
      <c r="Q15" s="12">
        <v>19</v>
      </c>
      <c r="R15" s="13"/>
      <c r="S15" s="12">
        <v>3</v>
      </c>
      <c r="T15" s="12">
        <v>2</v>
      </c>
      <c r="U15" s="12">
        <v>6</v>
      </c>
      <c r="V15" s="13"/>
      <c r="W15" s="12">
        <v>3</v>
      </c>
      <c r="X15" s="12">
        <v>1</v>
      </c>
      <c r="Y15" s="12">
        <v>1</v>
      </c>
      <c r="Z15" s="12">
        <v>61</v>
      </c>
      <c r="AA15" s="13"/>
      <c r="AB15" s="12">
        <v>17</v>
      </c>
      <c r="AC15" s="12">
        <v>8</v>
      </c>
      <c r="AD15" s="12">
        <v>12</v>
      </c>
      <c r="AE15" s="13"/>
      <c r="AF15" s="12">
        <v>14</v>
      </c>
      <c r="AG15" s="12">
        <v>2</v>
      </c>
      <c r="AH15" s="12">
        <v>2</v>
      </c>
      <c r="AI15" s="12">
        <v>2</v>
      </c>
      <c r="AJ15" s="13"/>
      <c r="AK15" s="12">
        <v>14</v>
      </c>
      <c r="AL15" s="13"/>
      <c r="AM15" s="12">
        <v>22</v>
      </c>
      <c r="AN15" s="13"/>
      <c r="AO15" s="12">
        <v>3</v>
      </c>
      <c r="AP15" s="13"/>
      <c r="AQ15" s="12">
        <v>4</v>
      </c>
      <c r="AR15" s="13"/>
      <c r="AS15" s="12">
        <v>1</v>
      </c>
      <c r="AT15" s="12">
        <v>2</v>
      </c>
      <c r="AU15" s="14">
        <v>0</v>
      </c>
      <c r="AV15" s="14">
        <f t="shared" si="24"/>
        <v>-0.31034482758620685</v>
      </c>
      <c r="AW15" s="14">
        <v>0</v>
      </c>
      <c r="AX15" s="14">
        <f t="shared" si="28"/>
        <v>-0.4242424242424242</v>
      </c>
      <c r="AY15" s="14">
        <f t="shared" ref="AY15:AY16" si="34">R15/G15-1</f>
        <v>-1</v>
      </c>
      <c r="AZ15" s="14">
        <v>0</v>
      </c>
      <c r="BA15" s="14">
        <v>0</v>
      </c>
      <c r="BB15" s="14">
        <f>U22/J15-1</f>
        <v>0.71428571428571419</v>
      </c>
      <c r="BC15" s="14">
        <v>0</v>
      </c>
      <c r="BD15" s="14">
        <f t="shared" ref="BD15:BE15" si="35">W22/L15-1</f>
        <v>0.75</v>
      </c>
      <c r="BE15" s="14">
        <f t="shared" si="35"/>
        <v>-1</v>
      </c>
      <c r="BF15" s="14">
        <v>0</v>
      </c>
      <c r="BG15" s="14">
        <f t="shared" si="17"/>
        <v>0.52499999999999991</v>
      </c>
      <c r="BH15" s="14">
        <v>0</v>
      </c>
      <c r="BI15" s="14">
        <f t="shared" si="32"/>
        <v>-0.10526315789473684</v>
      </c>
      <c r="BJ15" s="14">
        <v>0</v>
      </c>
      <c r="BK15" s="14">
        <f t="shared" ref="BK15:BO15" si="36">AD15/S22-1</f>
        <v>11</v>
      </c>
      <c r="BL15" s="14">
        <f t="shared" si="36"/>
        <v>-1</v>
      </c>
      <c r="BM15" s="14">
        <f t="shared" si="36"/>
        <v>0.16666666666666674</v>
      </c>
      <c r="BN15" s="14">
        <f t="shared" si="36"/>
        <v>0</v>
      </c>
      <c r="BO15" s="14">
        <f t="shared" si="36"/>
        <v>-0.7142857142857143</v>
      </c>
      <c r="BP15" s="14">
        <v>0</v>
      </c>
    </row>
    <row r="16" spans="1:68" ht="15.75" customHeight="1" x14ac:dyDescent="0.3">
      <c r="A16" s="29"/>
      <c r="B16" s="6" t="s">
        <v>30</v>
      </c>
      <c r="C16" s="12">
        <v>2</v>
      </c>
      <c r="D16" s="12">
        <v>392</v>
      </c>
      <c r="E16" s="13"/>
      <c r="F16" s="12">
        <v>369</v>
      </c>
      <c r="G16" s="12">
        <v>17</v>
      </c>
      <c r="H16" s="12">
        <v>17</v>
      </c>
      <c r="I16" s="12">
        <v>7</v>
      </c>
      <c r="J16" s="12">
        <v>21</v>
      </c>
      <c r="K16" s="13"/>
      <c r="L16" s="12">
        <v>4</v>
      </c>
      <c r="M16" s="12">
        <v>2</v>
      </c>
      <c r="N16" s="12">
        <v>3</v>
      </c>
      <c r="O16" s="12">
        <v>456</v>
      </c>
      <c r="P16" s="13"/>
      <c r="Q16" s="12">
        <v>231</v>
      </c>
      <c r="R16" s="12">
        <v>8</v>
      </c>
      <c r="S16" s="12">
        <v>9</v>
      </c>
      <c r="T16" s="12">
        <v>2</v>
      </c>
      <c r="U16" s="12">
        <v>28</v>
      </c>
      <c r="V16" s="12">
        <v>1</v>
      </c>
      <c r="W16" s="12">
        <v>3</v>
      </c>
      <c r="X16" s="12">
        <v>1</v>
      </c>
      <c r="Y16" s="12">
        <v>3</v>
      </c>
      <c r="Z16" s="12">
        <v>392</v>
      </c>
      <c r="AA16" s="12">
        <v>9</v>
      </c>
      <c r="AB16" s="12">
        <v>332</v>
      </c>
      <c r="AC16" s="12">
        <v>17</v>
      </c>
      <c r="AD16" s="12">
        <v>3</v>
      </c>
      <c r="AE16" s="12">
        <v>4</v>
      </c>
      <c r="AF16" s="12">
        <v>27</v>
      </c>
      <c r="AG16" s="12">
        <v>5</v>
      </c>
      <c r="AH16" s="12">
        <v>4</v>
      </c>
      <c r="AI16" s="13"/>
      <c r="AJ16" s="13"/>
      <c r="AK16" s="12">
        <v>129</v>
      </c>
      <c r="AL16" s="12">
        <v>2</v>
      </c>
      <c r="AM16" s="12">
        <v>244</v>
      </c>
      <c r="AN16" s="12">
        <v>10</v>
      </c>
      <c r="AO16" s="12">
        <v>6</v>
      </c>
      <c r="AP16" s="13"/>
      <c r="AQ16" s="12">
        <v>9</v>
      </c>
      <c r="AR16" s="12">
        <v>1</v>
      </c>
      <c r="AS16" s="12">
        <v>3</v>
      </c>
      <c r="AT16" s="13"/>
      <c r="AU16" s="14">
        <f t="shared" ref="AU16:AV16" si="37">N16/C16-1</f>
        <v>0.5</v>
      </c>
      <c r="AV16" s="14">
        <f t="shared" si="37"/>
        <v>0.16326530612244894</v>
      </c>
      <c r="AW16" s="14">
        <v>0</v>
      </c>
      <c r="AX16" s="14">
        <f t="shared" si="28"/>
        <v>-0.37398373983739841</v>
      </c>
      <c r="AY16" s="14">
        <f t="shared" si="34"/>
        <v>-0.52941176470588236</v>
      </c>
      <c r="AZ16" s="14">
        <f t="shared" ref="AZ16:BB16" si="38">S16/H16-1</f>
        <v>-0.47058823529411764</v>
      </c>
      <c r="BA16" s="14">
        <f t="shared" si="38"/>
        <v>-0.7142857142857143</v>
      </c>
      <c r="BB16" s="14">
        <f t="shared" si="38"/>
        <v>0.33333333333333326</v>
      </c>
      <c r="BC16" s="14">
        <v>0</v>
      </c>
      <c r="BD16" s="14">
        <f t="shared" ref="BD16:BG16" si="39">W16/L16-1</f>
        <v>-0.25</v>
      </c>
      <c r="BE16" s="14">
        <f t="shared" si="39"/>
        <v>-0.5</v>
      </c>
      <c r="BF16" s="14">
        <f t="shared" si="39"/>
        <v>0</v>
      </c>
      <c r="BG16" s="14">
        <f t="shared" si="39"/>
        <v>-0.14035087719298245</v>
      </c>
      <c r="BH16" s="14">
        <v>0</v>
      </c>
      <c r="BI16" s="14">
        <f t="shared" si="32"/>
        <v>0.43722943722943719</v>
      </c>
      <c r="BJ16" s="14">
        <f t="shared" ref="BJ16:BP16" si="40">AC16/R16-1</f>
        <v>1.125</v>
      </c>
      <c r="BK16" s="14">
        <f t="shared" si="40"/>
        <v>-0.66666666666666674</v>
      </c>
      <c r="BL16" s="14">
        <f t="shared" si="40"/>
        <v>1</v>
      </c>
      <c r="BM16" s="14">
        <f t="shared" si="40"/>
        <v>-3.5714285714285698E-2</v>
      </c>
      <c r="BN16" s="14">
        <f t="shared" si="40"/>
        <v>4</v>
      </c>
      <c r="BO16" s="14">
        <f t="shared" si="40"/>
        <v>0.33333333333333326</v>
      </c>
      <c r="BP16" s="14">
        <f t="shared" si="40"/>
        <v>-1</v>
      </c>
    </row>
    <row r="17" spans="1:68" ht="15.75" customHeight="1" x14ac:dyDescent="0.3">
      <c r="A17" s="29"/>
      <c r="B17" s="6" t="s">
        <v>31</v>
      </c>
      <c r="C17" s="12">
        <v>3</v>
      </c>
      <c r="D17" s="12">
        <v>157</v>
      </c>
      <c r="E17" s="12">
        <v>2</v>
      </c>
      <c r="F17" s="12">
        <v>390</v>
      </c>
      <c r="G17" s="12">
        <v>255</v>
      </c>
      <c r="H17" s="13"/>
      <c r="I17" s="13"/>
      <c r="J17" s="12">
        <v>8</v>
      </c>
      <c r="K17" s="12">
        <v>1</v>
      </c>
      <c r="L17" s="12">
        <v>1</v>
      </c>
      <c r="M17" s="12">
        <v>2</v>
      </c>
      <c r="N17" s="12">
        <v>4</v>
      </c>
      <c r="O17" s="12">
        <v>168</v>
      </c>
      <c r="P17" s="12">
        <v>1</v>
      </c>
      <c r="Q17" s="12">
        <v>241</v>
      </c>
      <c r="R17" s="12">
        <v>228</v>
      </c>
      <c r="V17" s="16"/>
      <c r="W17" s="16"/>
      <c r="X17" s="16"/>
      <c r="Y17" s="12">
        <v>4</v>
      </c>
      <c r="Z17" s="12">
        <v>146</v>
      </c>
      <c r="AA17" s="13"/>
      <c r="AB17" s="12">
        <v>173</v>
      </c>
      <c r="AC17" s="12">
        <v>106</v>
      </c>
      <c r="AD17" s="13"/>
      <c r="AE17" s="12">
        <v>2</v>
      </c>
      <c r="AF17" s="12">
        <v>2</v>
      </c>
      <c r="AG17" s="13"/>
      <c r="AH17" s="12">
        <v>1</v>
      </c>
      <c r="AI17" s="12">
        <v>6</v>
      </c>
      <c r="AJ17" s="13"/>
      <c r="AK17" s="12">
        <v>37</v>
      </c>
      <c r="AL17" s="13"/>
      <c r="AM17" s="12">
        <v>106</v>
      </c>
      <c r="AN17" s="12">
        <v>61</v>
      </c>
      <c r="AO17" s="13"/>
      <c r="AP17" s="13"/>
      <c r="AQ17" s="12">
        <v>1</v>
      </c>
      <c r="AR17" s="13"/>
      <c r="AS17" s="13"/>
      <c r="AT17" s="13"/>
      <c r="AU17" s="14">
        <f t="shared" ref="AU17:AY17" si="41">N17/C17-1</f>
        <v>0.33333333333333326</v>
      </c>
      <c r="AV17" s="14">
        <f t="shared" si="41"/>
        <v>7.0063694267515908E-2</v>
      </c>
      <c r="AW17" s="14">
        <f t="shared" si="41"/>
        <v>-0.5</v>
      </c>
      <c r="AX17" s="14">
        <f t="shared" si="41"/>
        <v>-0.38205128205128203</v>
      </c>
      <c r="AY17" s="14">
        <f t="shared" si="41"/>
        <v>-0.10588235294117643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f t="shared" ref="BF17:BJ17" si="42">Y17/N17-1</f>
        <v>0</v>
      </c>
      <c r="BG17" s="14">
        <f t="shared" si="42"/>
        <v>-0.13095238095238093</v>
      </c>
      <c r="BH17" s="14">
        <f t="shared" si="42"/>
        <v>-1</v>
      </c>
      <c r="BI17" s="14">
        <f t="shared" si="42"/>
        <v>-0.28215767634854771</v>
      </c>
      <c r="BJ17" s="14">
        <f t="shared" si="42"/>
        <v>-0.53508771929824561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</row>
    <row r="18" spans="1:68" ht="15.75" customHeight="1" x14ac:dyDescent="0.3">
      <c r="A18" s="29"/>
      <c r="B18" s="8" t="s">
        <v>32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</row>
    <row r="19" spans="1:68" ht="15.75" customHeight="1" x14ac:dyDescent="0.3">
      <c r="A19" s="29"/>
      <c r="B19" s="6" t="s">
        <v>33</v>
      </c>
      <c r="C19" s="12">
        <v>4</v>
      </c>
      <c r="D19" s="12">
        <v>25</v>
      </c>
      <c r="E19" s="13"/>
      <c r="F19" s="12">
        <v>32</v>
      </c>
      <c r="G19" s="13"/>
      <c r="H19" s="12">
        <v>1</v>
      </c>
      <c r="I19" s="12">
        <v>4</v>
      </c>
      <c r="J19" s="12">
        <v>6</v>
      </c>
      <c r="K19" s="12">
        <v>4</v>
      </c>
      <c r="L19" s="12">
        <v>4</v>
      </c>
      <c r="M19" s="13"/>
      <c r="N19" s="13"/>
      <c r="O19" s="12">
        <v>29</v>
      </c>
      <c r="P19" s="13"/>
      <c r="Q19" s="12">
        <v>37</v>
      </c>
      <c r="R19" s="12">
        <v>3</v>
      </c>
      <c r="S19" s="12">
        <v>4</v>
      </c>
      <c r="T19" s="12">
        <v>1</v>
      </c>
      <c r="U19" s="12">
        <v>9</v>
      </c>
      <c r="V19" s="12">
        <v>3</v>
      </c>
      <c r="W19" s="12">
        <v>4</v>
      </c>
      <c r="X19" s="12">
        <v>1</v>
      </c>
      <c r="Y19" s="12">
        <v>1</v>
      </c>
      <c r="Z19" s="12">
        <v>41</v>
      </c>
      <c r="AA19" s="13"/>
      <c r="AB19" s="12">
        <v>48</v>
      </c>
      <c r="AC19" s="13"/>
      <c r="AD19" s="12">
        <v>2</v>
      </c>
      <c r="AE19" s="12">
        <v>3</v>
      </c>
      <c r="AF19" s="12">
        <v>7</v>
      </c>
      <c r="AG19" s="12">
        <v>1</v>
      </c>
      <c r="AH19" s="12">
        <v>1</v>
      </c>
      <c r="AI19" s="13"/>
      <c r="AJ19" s="13"/>
      <c r="AK19" s="12">
        <v>14</v>
      </c>
      <c r="AL19" s="13"/>
      <c r="AM19" s="12">
        <v>17</v>
      </c>
      <c r="AN19" s="13"/>
      <c r="AO19" s="12">
        <v>2</v>
      </c>
      <c r="AP19" s="13"/>
      <c r="AQ19" s="12">
        <v>3</v>
      </c>
      <c r="AR19" s="13"/>
      <c r="AS19" s="12">
        <v>2</v>
      </c>
      <c r="AT19" s="13"/>
      <c r="AU19" s="14">
        <f t="shared" ref="AU19:AV19" si="43">N19/C19-1</f>
        <v>-1</v>
      </c>
      <c r="AV19" s="14">
        <f t="shared" si="43"/>
        <v>0.15999999999999992</v>
      </c>
      <c r="AW19" s="14">
        <v>0</v>
      </c>
      <c r="AX19" s="14">
        <f t="shared" ref="AX19:AX20" si="44">Q19/F19-1</f>
        <v>0.15625</v>
      </c>
      <c r="AY19" s="14">
        <v>0</v>
      </c>
      <c r="AZ19" s="14">
        <f t="shared" ref="AZ19:BD19" si="45">S19/H19-1</f>
        <v>3</v>
      </c>
      <c r="BA19" s="14">
        <f t="shared" si="45"/>
        <v>-0.75</v>
      </c>
      <c r="BB19" s="14">
        <f t="shared" si="45"/>
        <v>0.5</v>
      </c>
      <c r="BC19" s="14">
        <f t="shared" si="45"/>
        <v>-0.25</v>
      </c>
      <c r="BD19" s="14">
        <f t="shared" si="45"/>
        <v>0</v>
      </c>
      <c r="BE19" s="14">
        <v>0</v>
      </c>
      <c r="BF19" s="14">
        <v>0</v>
      </c>
      <c r="BG19" s="14">
        <f>Z19/O19-1</f>
        <v>0.4137931034482758</v>
      </c>
      <c r="BH19" s="14">
        <v>0</v>
      </c>
      <c r="BI19" s="14">
        <f t="shared" ref="BI19:BP19" si="46">AB19/Q19-1</f>
        <v>0.29729729729729737</v>
      </c>
      <c r="BJ19" s="14">
        <f t="shared" si="46"/>
        <v>-1</v>
      </c>
      <c r="BK19" s="14">
        <f t="shared" si="46"/>
        <v>-0.5</v>
      </c>
      <c r="BL19" s="14">
        <f t="shared" si="46"/>
        <v>2</v>
      </c>
      <c r="BM19" s="14">
        <f t="shared" si="46"/>
        <v>-0.22222222222222221</v>
      </c>
      <c r="BN19" s="14">
        <f t="shared" si="46"/>
        <v>-0.66666666666666674</v>
      </c>
      <c r="BO19" s="14">
        <f t="shared" si="46"/>
        <v>-0.75</v>
      </c>
      <c r="BP19" s="14">
        <f t="shared" si="46"/>
        <v>-1</v>
      </c>
    </row>
    <row r="20" spans="1:68" ht="15.75" customHeight="1" x14ac:dyDescent="0.3">
      <c r="A20" s="29"/>
      <c r="B20" s="6" t="s">
        <v>34</v>
      </c>
      <c r="C20" s="13"/>
      <c r="D20" s="12">
        <v>65</v>
      </c>
      <c r="E20" s="13"/>
      <c r="F20" s="12">
        <v>33</v>
      </c>
      <c r="G20" s="12">
        <v>1</v>
      </c>
      <c r="H20" s="12">
        <v>3</v>
      </c>
      <c r="I20" s="12">
        <v>2</v>
      </c>
      <c r="J20" s="12">
        <v>3</v>
      </c>
      <c r="K20" s="13"/>
      <c r="L20" s="13"/>
      <c r="M20" s="13"/>
      <c r="N20" s="12">
        <v>2</v>
      </c>
      <c r="O20" s="12">
        <v>70</v>
      </c>
      <c r="P20" s="13"/>
      <c r="Q20" s="12">
        <v>42</v>
      </c>
      <c r="R20" s="12">
        <v>4</v>
      </c>
      <c r="S20" s="12">
        <v>2</v>
      </c>
      <c r="T20" s="12">
        <v>2</v>
      </c>
      <c r="U20" s="12">
        <v>9</v>
      </c>
      <c r="V20" s="13"/>
      <c r="W20" s="12">
        <v>3</v>
      </c>
      <c r="X20" s="13"/>
      <c r="Y20" s="13"/>
      <c r="Z20" s="12">
        <v>90</v>
      </c>
      <c r="AA20" s="13"/>
      <c r="AB20" s="12">
        <v>71</v>
      </c>
      <c r="AC20" s="12">
        <v>9</v>
      </c>
      <c r="AD20" s="12">
        <v>2</v>
      </c>
      <c r="AE20" s="12">
        <v>2</v>
      </c>
      <c r="AF20" s="12">
        <v>3</v>
      </c>
      <c r="AG20" s="12">
        <v>2</v>
      </c>
      <c r="AH20" s="13"/>
      <c r="AI20" s="13"/>
      <c r="AJ20" s="12">
        <v>1</v>
      </c>
      <c r="AK20" s="12">
        <v>37</v>
      </c>
      <c r="AL20" s="13"/>
      <c r="AM20" s="12">
        <v>24</v>
      </c>
      <c r="AN20" s="12">
        <v>1</v>
      </c>
      <c r="AO20" s="12">
        <v>1</v>
      </c>
      <c r="AP20" s="13"/>
      <c r="AQ20" s="12">
        <v>1</v>
      </c>
      <c r="AR20" s="12">
        <v>1</v>
      </c>
      <c r="AS20" s="13"/>
      <c r="AT20" s="13"/>
      <c r="AU20" s="14">
        <v>0</v>
      </c>
      <c r="AV20" s="14">
        <f>O20/D20-1</f>
        <v>7.6923076923076872E-2</v>
      </c>
      <c r="AW20" s="14">
        <v>0</v>
      </c>
      <c r="AX20" s="14">
        <f t="shared" si="44"/>
        <v>0.27272727272727271</v>
      </c>
      <c r="AY20" s="14">
        <f t="shared" ref="AY20:BB20" si="47">R20/G20-1</f>
        <v>3</v>
      </c>
      <c r="AZ20" s="14">
        <f t="shared" si="47"/>
        <v>-0.33333333333333337</v>
      </c>
      <c r="BA20" s="14">
        <f t="shared" si="47"/>
        <v>0</v>
      </c>
      <c r="BB20" s="14">
        <f t="shared" si="47"/>
        <v>2</v>
      </c>
      <c r="BC20" s="14">
        <v>0</v>
      </c>
      <c r="BD20" s="14">
        <v>0</v>
      </c>
      <c r="BE20" s="14">
        <v>0</v>
      </c>
      <c r="BF20" s="14">
        <f t="shared" ref="BF20:BG20" si="48">Y20/N20-1</f>
        <v>-1</v>
      </c>
      <c r="BG20" s="14">
        <f t="shared" si="48"/>
        <v>0.28571428571428581</v>
      </c>
      <c r="BH20" s="14">
        <v>0</v>
      </c>
      <c r="BI20" s="14">
        <f t="shared" ref="BI20:BM20" si="49">AB20/Q20-1</f>
        <v>0.69047619047619047</v>
      </c>
      <c r="BJ20" s="14">
        <f t="shared" si="49"/>
        <v>1.25</v>
      </c>
      <c r="BK20" s="14">
        <f t="shared" si="49"/>
        <v>0</v>
      </c>
      <c r="BL20" s="14">
        <f t="shared" si="49"/>
        <v>0</v>
      </c>
      <c r="BM20" s="14">
        <f t="shared" si="49"/>
        <v>-0.66666666666666674</v>
      </c>
      <c r="BN20" s="14">
        <v>0</v>
      </c>
      <c r="BO20" s="14">
        <f>AH20/W20-1</f>
        <v>-1</v>
      </c>
      <c r="BP20" s="14">
        <v>0</v>
      </c>
    </row>
    <row r="21" spans="1:68" ht="15.75" customHeight="1" x14ac:dyDescent="0.3">
      <c r="A21" s="29"/>
      <c r="B21" s="6" t="s">
        <v>35</v>
      </c>
      <c r="C21" s="12">
        <v>2</v>
      </c>
      <c r="D21" s="12">
        <v>79</v>
      </c>
      <c r="E21" s="12">
        <v>2</v>
      </c>
      <c r="F21" s="12">
        <v>67</v>
      </c>
      <c r="G21" s="13"/>
      <c r="H21" s="12">
        <v>6</v>
      </c>
      <c r="I21" s="12">
        <v>8</v>
      </c>
      <c r="J21" s="12">
        <v>16</v>
      </c>
      <c r="K21" s="12">
        <v>5</v>
      </c>
      <c r="L21" s="12">
        <v>7</v>
      </c>
      <c r="M21" s="12">
        <v>3</v>
      </c>
      <c r="N21" s="12">
        <v>1</v>
      </c>
      <c r="O21" s="12">
        <v>99</v>
      </c>
      <c r="P21" s="13"/>
      <c r="Q21" s="12">
        <v>44</v>
      </c>
      <c r="R21" s="12">
        <v>4</v>
      </c>
      <c r="S21" s="12">
        <v>5</v>
      </c>
      <c r="T21" s="12">
        <v>1</v>
      </c>
      <c r="U21" s="12">
        <v>17</v>
      </c>
      <c r="V21" s="12">
        <v>2</v>
      </c>
      <c r="W21" s="12">
        <v>14</v>
      </c>
      <c r="X21" s="12">
        <v>3</v>
      </c>
      <c r="Y21" s="12">
        <v>1</v>
      </c>
      <c r="Z21" s="12">
        <v>99</v>
      </c>
      <c r="AA21" s="13"/>
      <c r="AB21" s="12">
        <v>58</v>
      </c>
      <c r="AC21" s="12">
        <v>4</v>
      </c>
      <c r="AD21" s="12">
        <v>10</v>
      </c>
      <c r="AE21" s="12">
        <v>4</v>
      </c>
      <c r="AF21" s="12">
        <v>15</v>
      </c>
      <c r="AG21" s="12">
        <v>2</v>
      </c>
      <c r="AH21" s="12">
        <v>13</v>
      </c>
      <c r="AI21" s="12">
        <v>2</v>
      </c>
      <c r="AJ21" s="13"/>
      <c r="AK21" s="12">
        <v>50</v>
      </c>
      <c r="AL21" s="13"/>
      <c r="AM21" s="12">
        <v>25</v>
      </c>
      <c r="AN21" s="13"/>
      <c r="AO21" s="12">
        <v>2</v>
      </c>
      <c r="AP21" s="12">
        <v>1</v>
      </c>
      <c r="AQ21" s="12">
        <v>4</v>
      </c>
      <c r="AR21" s="13"/>
      <c r="AS21" s="12">
        <v>8</v>
      </c>
      <c r="AT21" s="13"/>
      <c r="AU21" s="14">
        <f t="shared" ref="AU21:AX21" si="50">N21/C21-1</f>
        <v>-0.5</v>
      </c>
      <c r="AV21" s="14">
        <f t="shared" si="50"/>
        <v>0.25316455696202533</v>
      </c>
      <c r="AW21" s="14">
        <f t="shared" si="50"/>
        <v>-1</v>
      </c>
      <c r="AX21" s="14">
        <f t="shared" si="50"/>
        <v>-0.34328358208955223</v>
      </c>
      <c r="AY21" s="14">
        <v>0</v>
      </c>
      <c r="AZ21" s="14">
        <f t="shared" ref="AZ21:BG21" si="51">S21/H21-1</f>
        <v>-0.16666666666666663</v>
      </c>
      <c r="BA21" s="14">
        <f t="shared" si="51"/>
        <v>-0.875</v>
      </c>
      <c r="BB21" s="14">
        <f t="shared" si="51"/>
        <v>6.25E-2</v>
      </c>
      <c r="BC21" s="14">
        <f t="shared" si="51"/>
        <v>-0.6</v>
      </c>
      <c r="BD21" s="14">
        <f t="shared" si="51"/>
        <v>1</v>
      </c>
      <c r="BE21" s="14">
        <f t="shared" si="51"/>
        <v>0</v>
      </c>
      <c r="BF21" s="14">
        <f t="shared" si="51"/>
        <v>0</v>
      </c>
      <c r="BG21" s="14">
        <f t="shared" si="51"/>
        <v>0</v>
      </c>
      <c r="BH21" s="14">
        <v>0</v>
      </c>
      <c r="BI21" s="14">
        <f t="shared" ref="BI21:BP21" si="52">AB21/Q21-1</f>
        <v>0.31818181818181812</v>
      </c>
      <c r="BJ21" s="14">
        <f t="shared" si="52"/>
        <v>0</v>
      </c>
      <c r="BK21" s="14">
        <f t="shared" si="52"/>
        <v>1</v>
      </c>
      <c r="BL21" s="14">
        <f t="shared" si="52"/>
        <v>3</v>
      </c>
      <c r="BM21" s="14">
        <f t="shared" si="52"/>
        <v>-0.11764705882352944</v>
      </c>
      <c r="BN21" s="14">
        <f t="shared" si="52"/>
        <v>0</v>
      </c>
      <c r="BO21" s="14">
        <f t="shared" si="52"/>
        <v>-7.1428571428571397E-2</v>
      </c>
      <c r="BP21" s="14">
        <f t="shared" si="52"/>
        <v>-0.33333333333333337</v>
      </c>
    </row>
    <row r="22" spans="1:68" ht="15.75" customHeight="1" x14ac:dyDescent="0.3">
      <c r="A22" s="29"/>
      <c r="B22" s="10" t="s">
        <v>36</v>
      </c>
      <c r="C22" s="13"/>
      <c r="D22" s="12">
        <v>37</v>
      </c>
      <c r="E22" s="13"/>
      <c r="F22" s="12">
        <v>52</v>
      </c>
      <c r="G22" s="12">
        <v>1</v>
      </c>
      <c r="H22" s="12"/>
      <c r="I22" s="19"/>
      <c r="J22" s="19"/>
      <c r="K22" s="18">
        <v>4</v>
      </c>
      <c r="L22" s="18">
        <v>1</v>
      </c>
      <c r="M22" s="18">
        <v>2</v>
      </c>
      <c r="N22" s="18">
        <v>1</v>
      </c>
      <c r="O22" s="12">
        <v>48</v>
      </c>
      <c r="P22" s="13"/>
      <c r="Q22" s="12">
        <v>30</v>
      </c>
      <c r="R22" s="12">
        <v>2</v>
      </c>
      <c r="S22" s="12">
        <v>1</v>
      </c>
      <c r="T22" s="12">
        <v>1</v>
      </c>
      <c r="U22" s="12">
        <v>12</v>
      </c>
      <c r="V22" s="12">
        <v>2</v>
      </c>
      <c r="W22" s="12">
        <v>7</v>
      </c>
      <c r="X22" s="13"/>
      <c r="Y22" s="13"/>
      <c r="Z22" s="12">
        <v>92</v>
      </c>
      <c r="AA22" s="13"/>
      <c r="AB22" s="12">
        <v>18</v>
      </c>
      <c r="AC22" s="12">
        <v>3</v>
      </c>
      <c r="AD22" s="12">
        <v>2</v>
      </c>
      <c r="AE22" s="12">
        <v>1</v>
      </c>
      <c r="AF22" s="12">
        <v>5</v>
      </c>
      <c r="AG22" s="13"/>
      <c r="AH22" s="12">
        <v>5</v>
      </c>
      <c r="AI22" s="13"/>
      <c r="AJ22" s="13"/>
      <c r="AK22" s="12">
        <v>34</v>
      </c>
      <c r="AL22" s="12">
        <v>1</v>
      </c>
      <c r="AM22" s="12">
        <v>11</v>
      </c>
      <c r="AN22" s="13"/>
      <c r="AO22" s="13"/>
      <c r="AP22" s="13"/>
      <c r="AQ22" s="13"/>
      <c r="AR22" s="13"/>
      <c r="AS22" s="12">
        <v>1</v>
      </c>
      <c r="AT22" s="12">
        <v>1</v>
      </c>
      <c r="AU22" s="14">
        <v>0</v>
      </c>
      <c r="AV22" s="14">
        <f t="shared" ref="AV22:AV23" si="53">O22/D22-1</f>
        <v>0.29729729729729737</v>
      </c>
      <c r="AW22" s="14">
        <v>0</v>
      </c>
      <c r="AX22" s="14">
        <f t="shared" ref="AX22:AY22" si="54">Q22/F22-1</f>
        <v>-0.42307692307692313</v>
      </c>
      <c r="AY22" s="14">
        <f t="shared" si="54"/>
        <v>1</v>
      </c>
      <c r="AZ22" s="14">
        <v>0</v>
      </c>
      <c r="BA22" s="14">
        <v>0</v>
      </c>
      <c r="BB22" s="14">
        <v>0</v>
      </c>
      <c r="BC22" s="14">
        <v>0</v>
      </c>
      <c r="BD22" s="14">
        <f t="shared" ref="BD22:BE22" si="55">W15/L22-1</f>
        <v>2</v>
      </c>
      <c r="BE22" s="14">
        <f t="shared" si="55"/>
        <v>-0.5</v>
      </c>
      <c r="BF22" s="14">
        <v>0</v>
      </c>
      <c r="BG22" s="14">
        <f t="shared" ref="BG22:BG23" si="56">Z22/O22-1</f>
        <v>0.91666666666666674</v>
      </c>
      <c r="BH22" s="14">
        <v>0</v>
      </c>
      <c r="BI22" s="14">
        <f t="shared" ref="BI22:BJ22" si="57">AB22/Q22-1</f>
        <v>-0.4</v>
      </c>
      <c r="BJ22" s="14">
        <f t="shared" si="57"/>
        <v>0.5</v>
      </c>
      <c r="BK22" s="14">
        <f t="shared" ref="BK22:BM22" si="58">AD22/S15-1</f>
        <v>-0.33333333333333337</v>
      </c>
      <c r="BL22" s="14">
        <f t="shared" si="58"/>
        <v>-0.5</v>
      </c>
      <c r="BM22" s="14">
        <f t="shared" si="58"/>
        <v>-0.16666666666666663</v>
      </c>
      <c r="BN22" s="14">
        <v>0</v>
      </c>
      <c r="BO22" s="14">
        <f t="shared" ref="BO22:BP22" si="59">AH22/W15-1</f>
        <v>0.66666666666666674</v>
      </c>
      <c r="BP22" s="14">
        <f t="shared" si="59"/>
        <v>-1</v>
      </c>
    </row>
    <row r="23" spans="1:68" x14ac:dyDescent="0.3">
      <c r="A23" s="29"/>
      <c r="B23" s="6" t="s">
        <v>37</v>
      </c>
      <c r="C23" s="13"/>
      <c r="D23" s="12">
        <v>6</v>
      </c>
      <c r="E23" s="13"/>
      <c r="F23" s="12">
        <v>6</v>
      </c>
      <c r="G23" s="13"/>
      <c r="H23" s="13"/>
      <c r="I23" s="13"/>
      <c r="J23" s="12">
        <v>4</v>
      </c>
      <c r="K23" s="12">
        <v>1</v>
      </c>
      <c r="L23" s="12">
        <v>2</v>
      </c>
      <c r="M23" s="13"/>
      <c r="N23" s="13"/>
      <c r="O23" s="12">
        <v>11</v>
      </c>
      <c r="P23" s="13"/>
      <c r="Q23" s="12">
        <v>7</v>
      </c>
      <c r="R23" s="13"/>
      <c r="S23" s="13"/>
      <c r="T23" s="13"/>
      <c r="U23" s="12">
        <v>3</v>
      </c>
      <c r="V23" s="13"/>
      <c r="W23" s="12">
        <v>6</v>
      </c>
      <c r="X23" s="13"/>
      <c r="Y23" s="13"/>
      <c r="Z23" s="12">
        <v>6</v>
      </c>
      <c r="AA23" s="13"/>
      <c r="AB23" s="12">
        <v>8</v>
      </c>
      <c r="AC23" s="13"/>
      <c r="AD23" s="12">
        <v>1</v>
      </c>
      <c r="AE23" s="13"/>
      <c r="AF23" s="12">
        <v>2</v>
      </c>
      <c r="AG23" s="12">
        <v>1</v>
      </c>
      <c r="AH23" s="12">
        <v>4</v>
      </c>
      <c r="AI23" s="12">
        <v>1</v>
      </c>
      <c r="AJ23" s="13"/>
      <c r="AK23" s="12">
        <v>5</v>
      </c>
      <c r="AL23" s="13"/>
      <c r="AM23" s="12">
        <v>3</v>
      </c>
      <c r="AN23" s="13"/>
      <c r="AO23" s="12">
        <v>1</v>
      </c>
      <c r="AP23" s="13"/>
      <c r="AQ23" s="13"/>
      <c r="AR23" s="13"/>
      <c r="AS23" s="12">
        <v>1</v>
      </c>
      <c r="AT23" s="13"/>
      <c r="AU23" s="14">
        <v>0</v>
      </c>
      <c r="AV23" s="14">
        <f t="shared" si="53"/>
        <v>0.83333333333333326</v>
      </c>
      <c r="AW23" s="14">
        <v>0</v>
      </c>
      <c r="AX23" s="14">
        <f>Q23/F23-1</f>
        <v>0.16666666666666674</v>
      </c>
      <c r="AY23" s="14">
        <v>0</v>
      </c>
      <c r="AZ23" s="14">
        <v>0</v>
      </c>
      <c r="BA23" s="14">
        <v>0</v>
      </c>
      <c r="BB23" s="14">
        <f t="shared" ref="BB23:BD23" si="60">U23/J23-1</f>
        <v>-0.25</v>
      </c>
      <c r="BC23" s="14">
        <f t="shared" si="60"/>
        <v>-1</v>
      </c>
      <c r="BD23" s="14">
        <f t="shared" si="60"/>
        <v>2</v>
      </c>
      <c r="BE23" s="14">
        <v>0</v>
      </c>
      <c r="BF23" s="14">
        <v>0</v>
      </c>
      <c r="BG23" s="14">
        <f t="shared" si="56"/>
        <v>-0.45454545454545459</v>
      </c>
      <c r="BH23" s="14">
        <v>0</v>
      </c>
      <c r="BI23" s="14">
        <f>AB23/Q23-1</f>
        <v>0.14285714285714279</v>
      </c>
      <c r="BJ23" s="14">
        <v>0</v>
      </c>
      <c r="BK23" s="14">
        <v>0</v>
      </c>
      <c r="BL23" s="14">
        <v>0</v>
      </c>
      <c r="BM23" s="14">
        <f>AF23/U23-1</f>
        <v>-0.33333333333333337</v>
      </c>
      <c r="BN23" s="14">
        <v>0</v>
      </c>
      <c r="BO23" s="14">
        <f>AH23/W23-1</f>
        <v>-0.33333333333333337</v>
      </c>
      <c r="BP23" s="14">
        <v>0</v>
      </c>
    </row>
    <row r="24" spans="1:68" ht="15" x14ac:dyDescent="0.3">
      <c r="A24" s="29"/>
      <c r="B24" s="8" t="s">
        <v>38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</row>
    <row r="25" spans="1:68" ht="15" x14ac:dyDescent="0.3">
      <c r="A25" s="29"/>
      <c r="B25" s="8" t="s">
        <v>39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</row>
    <row r="26" spans="1:68" ht="15" x14ac:dyDescent="0.3">
      <c r="A26" s="29"/>
      <c r="B26" s="8" t="s">
        <v>40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</row>
    <row r="27" spans="1:68" ht="15" x14ac:dyDescent="0.3">
      <c r="A27" s="29"/>
      <c r="B27" s="8" t="s">
        <v>41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</row>
    <row r="28" spans="1:68" ht="15" x14ac:dyDescent="0.3">
      <c r="A28" s="30"/>
      <c r="B28" s="8" t="s">
        <v>42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</row>
    <row r="29" spans="1:68" x14ac:dyDescent="0.3">
      <c r="A29" s="28" t="s">
        <v>43</v>
      </c>
      <c r="B29" s="6" t="s">
        <v>44</v>
      </c>
      <c r="C29" s="12">
        <v>2</v>
      </c>
      <c r="D29" s="12">
        <v>79</v>
      </c>
      <c r="E29" s="13"/>
      <c r="F29" s="12">
        <v>31</v>
      </c>
      <c r="G29" s="12">
        <v>4</v>
      </c>
      <c r="H29" s="12">
        <v>3</v>
      </c>
      <c r="I29" s="12">
        <v>3</v>
      </c>
      <c r="J29" s="12">
        <v>27</v>
      </c>
      <c r="K29" s="13"/>
      <c r="L29" s="12">
        <v>3</v>
      </c>
      <c r="M29" s="13"/>
      <c r="N29" s="12">
        <v>4</v>
      </c>
      <c r="O29" s="12">
        <v>97</v>
      </c>
      <c r="P29" s="13"/>
      <c r="Q29" s="12">
        <v>37</v>
      </c>
      <c r="R29" s="13"/>
      <c r="S29" s="12">
        <v>5</v>
      </c>
      <c r="T29" s="12">
        <v>1</v>
      </c>
      <c r="U29" s="12">
        <v>17</v>
      </c>
      <c r="V29" s="13"/>
      <c r="W29" s="13"/>
      <c r="X29" s="12">
        <v>1</v>
      </c>
      <c r="Y29" s="12">
        <v>2</v>
      </c>
      <c r="Z29" s="12">
        <v>95</v>
      </c>
      <c r="AA29" s="13"/>
      <c r="AB29" s="12">
        <v>23</v>
      </c>
      <c r="AC29" s="12">
        <v>4</v>
      </c>
      <c r="AD29" s="12">
        <v>7</v>
      </c>
      <c r="AE29" s="12">
        <v>1</v>
      </c>
      <c r="AF29" s="12">
        <v>22</v>
      </c>
      <c r="AG29" s="13"/>
      <c r="AH29" s="13"/>
      <c r="AI29" s="12">
        <v>1</v>
      </c>
      <c r="AJ29" s="13"/>
      <c r="AK29" s="12">
        <v>28</v>
      </c>
      <c r="AL29" s="13"/>
      <c r="AM29" s="12">
        <v>10</v>
      </c>
      <c r="AN29" s="13"/>
      <c r="AO29" s="12">
        <v>1</v>
      </c>
      <c r="AP29" s="12">
        <v>2</v>
      </c>
      <c r="AQ29" s="12">
        <v>4</v>
      </c>
      <c r="AR29" s="13"/>
      <c r="AS29" s="13"/>
      <c r="AT29" s="13"/>
      <c r="AU29" s="14">
        <f t="shared" ref="AU29:AV29" si="61">N29/C29-1</f>
        <v>1</v>
      </c>
      <c r="AV29" s="14">
        <f t="shared" si="61"/>
        <v>0.22784810126582289</v>
      </c>
      <c r="AW29" s="14">
        <v>0</v>
      </c>
      <c r="AX29" s="14">
        <f t="shared" ref="AX29:BB29" si="62">Q29/F29-1</f>
        <v>0.19354838709677424</v>
      </c>
      <c r="AY29" s="14">
        <f t="shared" si="62"/>
        <v>-1</v>
      </c>
      <c r="AZ29" s="14">
        <f t="shared" si="62"/>
        <v>0.66666666666666674</v>
      </c>
      <c r="BA29" s="14">
        <f t="shared" si="62"/>
        <v>-0.66666666666666674</v>
      </c>
      <c r="BB29" s="14">
        <f t="shared" si="62"/>
        <v>-0.37037037037037035</v>
      </c>
      <c r="BC29" s="14">
        <v>0</v>
      </c>
      <c r="BD29" s="14">
        <f>W29/L29-1</f>
        <v>-1</v>
      </c>
      <c r="BE29" s="14">
        <v>0</v>
      </c>
      <c r="BF29" s="14">
        <f t="shared" ref="BF29:BG29" si="63">Y29/N29-1</f>
        <v>-0.5</v>
      </c>
      <c r="BG29" s="14">
        <f t="shared" si="63"/>
        <v>-2.0618556701030966E-2</v>
      </c>
      <c r="BH29" s="14">
        <v>0</v>
      </c>
      <c r="BI29" s="14">
        <f>AB29/Q29-1</f>
        <v>-0.3783783783783784</v>
      </c>
      <c r="BJ29" s="14">
        <v>0</v>
      </c>
      <c r="BK29" s="14">
        <f t="shared" ref="BK29:BM29" si="64">AD29/S29-1</f>
        <v>0.39999999999999991</v>
      </c>
      <c r="BL29" s="14">
        <f t="shared" si="64"/>
        <v>0</v>
      </c>
      <c r="BM29" s="14">
        <f t="shared" si="64"/>
        <v>0.29411764705882359</v>
      </c>
      <c r="BN29" s="14">
        <v>0</v>
      </c>
      <c r="BO29" s="14">
        <v>0</v>
      </c>
      <c r="BP29" s="14">
        <f>AI29/X29-1</f>
        <v>0</v>
      </c>
    </row>
    <row r="30" spans="1:68" x14ac:dyDescent="0.3">
      <c r="A30" s="29"/>
      <c r="B30" s="6" t="s">
        <v>45</v>
      </c>
      <c r="C30" s="12">
        <v>1</v>
      </c>
      <c r="D30" s="12">
        <v>38</v>
      </c>
      <c r="E30" s="13"/>
      <c r="F30" s="12">
        <v>16</v>
      </c>
      <c r="G30" s="12">
        <v>2</v>
      </c>
      <c r="H30" s="12">
        <v>3</v>
      </c>
      <c r="I30" s="13"/>
      <c r="J30" s="12">
        <v>4</v>
      </c>
      <c r="K30" s="12">
        <v>1</v>
      </c>
      <c r="L30" s="13"/>
      <c r="M30" s="12">
        <v>1</v>
      </c>
      <c r="N30" s="13"/>
      <c r="O30" s="12">
        <v>58</v>
      </c>
      <c r="P30" s="13"/>
      <c r="Q30" s="12">
        <v>24</v>
      </c>
      <c r="R30" s="12">
        <v>7</v>
      </c>
      <c r="S30" s="12">
        <v>1</v>
      </c>
      <c r="T30" s="13"/>
      <c r="U30" s="12">
        <v>11</v>
      </c>
      <c r="V30" s="13"/>
      <c r="W30" s="13"/>
      <c r="X30" s="13"/>
      <c r="Y30" s="12">
        <v>2</v>
      </c>
      <c r="Z30" s="12">
        <v>49</v>
      </c>
      <c r="AA30" s="12">
        <v>1</v>
      </c>
      <c r="AB30" s="12">
        <v>15</v>
      </c>
      <c r="AC30" s="12">
        <v>1</v>
      </c>
      <c r="AD30" s="12">
        <v>1</v>
      </c>
      <c r="AE30" s="13"/>
      <c r="AF30" s="12">
        <v>5</v>
      </c>
      <c r="AG30" s="13"/>
      <c r="AH30" s="13"/>
      <c r="AI30" s="13"/>
      <c r="AJ30" s="13"/>
      <c r="AK30" s="12">
        <v>17</v>
      </c>
      <c r="AL30" s="13"/>
      <c r="AM30" s="12">
        <v>3</v>
      </c>
      <c r="AN30" s="13"/>
      <c r="AO30" s="12">
        <v>1</v>
      </c>
      <c r="AP30" s="12">
        <v>1</v>
      </c>
      <c r="AQ30" s="12">
        <v>4</v>
      </c>
      <c r="AR30" s="13"/>
      <c r="AS30" s="13"/>
      <c r="AT30" s="13"/>
      <c r="AU30" s="14">
        <f t="shared" ref="AU30:AV30" si="65">N30/C30-1</f>
        <v>-1</v>
      </c>
      <c r="AV30" s="14">
        <f t="shared" si="65"/>
        <v>0.52631578947368429</v>
      </c>
      <c r="AW30" s="14">
        <v>0</v>
      </c>
      <c r="AX30" s="14">
        <f t="shared" ref="AX30:AZ30" si="66">Q30/F30-1</f>
        <v>0.5</v>
      </c>
      <c r="AY30" s="14">
        <f t="shared" si="66"/>
        <v>2.5</v>
      </c>
      <c r="AZ30" s="14">
        <f t="shared" si="66"/>
        <v>-0.66666666666666674</v>
      </c>
      <c r="BA30" s="14">
        <v>0</v>
      </c>
      <c r="BB30" s="14">
        <f t="shared" ref="BB30:BC30" si="67">U30/J30-1</f>
        <v>1.75</v>
      </c>
      <c r="BC30" s="14">
        <f t="shared" si="67"/>
        <v>-1</v>
      </c>
      <c r="BD30" s="14">
        <v>0</v>
      </c>
      <c r="BE30" s="14">
        <f t="shared" ref="BE30:BF30" si="68">X30/M30-1</f>
        <v>-1</v>
      </c>
      <c r="BF30" s="14" t="e">
        <f t="shared" si="68"/>
        <v>#DIV/0!</v>
      </c>
      <c r="BG30" s="14">
        <v>0</v>
      </c>
      <c r="BH30" s="14" t="e">
        <f t="shared" ref="BH30:BI30" si="69">AA30/P30-1</f>
        <v>#DIV/0!</v>
      </c>
      <c r="BI30" s="14">
        <f t="shared" si="69"/>
        <v>-0.375</v>
      </c>
      <c r="BJ30" s="14">
        <v>0</v>
      </c>
      <c r="BK30" s="14">
        <f>AD30/S30-1</f>
        <v>0</v>
      </c>
      <c r="BL30" s="14">
        <v>0</v>
      </c>
      <c r="BM30" s="14">
        <f>AF30/U30-1</f>
        <v>-0.54545454545454541</v>
      </c>
      <c r="BN30" s="14">
        <v>0</v>
      </c>
      <c r="BO30" s="14">
        <v>0</v>
      </c>
      <c r="BP30" s="14">
        <v>0</v>
      </c>
    </row>
    <row r="31" spans="1:68" x14ac:dyDescent="0.3">
      <c r="A31" s="29"/>
      <c r="B31" s="6" t="s">
        <v>46</v>
      </c>
      <c r="C31" s="13"/>
      <c r="D31" s="12">
        <v>150</v>
      </c>
      <c r="E31" s="12">
        <v>1</v>
      </c>
      <c r="F31" s="12">
        <v>155</v>
      </c>
      <c r="G31" s="12">
        <v>1</v>
      </c>
      <c r="H31" s="12">
        <v>4</v>
      </c>
      <c r="I31" s="12">
        <v>3</v>
      </c>
      <c r="J31" s="12">
        <v>6</v>
      </c>
      <c r="K31" s="13"/>
      <c r="L31" s="12">
        <v>1</v>
      </c>
      <c r="M31" s="13"/>
      <c r="N31" s="12">
        <v>2</v>
      </c>
      <c r="O31" s="12">
        <v>159</v>
      </c>
      <c r="P31" s="13"/>
      <c r="Q31" s="12">
        <v>127</v>
      </c>
      <c r="R31" s="12">
        <v>3</v>
      </c>
      <c r="S31" s="12">
        <v>3</v>
      </c>
      <c r="T31" s="12">
        <v>2</v>
      </c>
      <c r="U31" s="12">
        <v>6</v>
      </c>
      <c r="V31" s="12">
        <v>1</v>
      </c>
      <c r="W31" s="12">
        <v>3</v>
      </c>
      <c r="X31" s="13"/>
      <c r="Y31" s="12">
        <v>1</v>
      </c>
      <c r="Z31" s="12">
        <v>122</v>
      </c>
      <c r="AA31" s="12">
        <v>1</v>
      </c>
      <c r="AB31" s="12">
        <v>79</v>
      </c>
      <c r="AC31" s="12">
        <v>4</v>
      </c>
      <c r="AD31" s="12">
        <v>3</v>
      </c>
      <c r="AE31" s="12">
        <v>3</v>
      </c>
      <c r="AF31" s="12">
        <v>9</v>
      </c>
      <c r="AG31" s="12">
        <v>1</v>
      </c>
      <c r="AH31" s="12">
        <v>3</v>
      </c>
      <c r="AI31" s="13"/>
      <c r="AJ31" s="13"/>
      <c r="AK31" s="12">
        <v>53</v>
      </c>
      <c r="AL31" s="12">
        <v>1</v>
      </c>
      <c r="AM31" s="12">
        <v>39</v>
      </c>
      <c r="AN31" s="12">
        <v>3</v>
      </c>
      <c r="AO31" s="12">
        <v>3</v>
      </c>
      <c r="AP31" s="13"/>
      <c r="AQ31" s="12">
        <v>1</v>
      </c>
      <c r="AR31" s="13"/>
      <c r="AS31" s="13"/>
      <c r="AT31" s="13"/>
      <c r="AU31" s="14">
        <v>0</v>
      </c>
      <c r="AV31" s="14">
        <f t="shared" ref="AV31:BB31" si="70">O31/D31-1</f>
        <v>6.0000000000000053E-2</v>
      </c>
      <c r="AW31" s="14">
        <f t="shared" si="70"/>
        <v>-1</v>
      </c>
      <c r="AX31" s="14">
        <f t="shared" si="70"/>
        <v>-0.1806451612903226</v>
      </c>
      <c r="AY31" s="14">
        <f t="shared" si="70"/>
        <v>2</v>
      </c>
      <c r="AZ31" s="14">
        <f t="shared" si="70"/>
        <v>-0.25</v>
      </c>
      <c r="BA31" s="14">
        <f t="shared" si="70"/>
        <v>-0.33333333333333337</v>
      </c>
      <c r="BB31" s="14">
        <f t="shared" si="70"/>
        <v>0</v>
      </c>
      <c r="BC31" s="14">
        <v>0</v>
      </c>
      <c r="BD31" s="14">
        <f>W31/L31-1</f>
        <v>2</v>
      </c>
      <c r="BE31" s="14">
        <v>0</v>
      </c>
      <c r="BF31" s="14">
        <f t="shared" ref="BF31:BG31" si="71">Y31/N31-1</f>
        <v>-0.5</v>
      </c>
      <c r="BG31" s="14">
        <f t="shared" si="71"/>
        <v>-0.23270440251572322</v>
      </c>
      <c r="BH31" s="14">
        <v>0</v>
      </c>
      <c r="BI31" s="14">
        <f t="shared" ref="BI31:BO31" si="72">AB31/Q31-1</f>
        <v>-0.37795275590551181</v>
      </c>
      <c r="BJ31" s="14">
        <f t="shared" si="72"/>
        <v>0.33333333333333326</v>
      </c>
      <c r="BK31" s="14">
        <f t="shared" si="72"/>
        <v>0</v>
      </c>
      <c r="BL31" s="14">
        <f t="shared" si="72"/>
        <v>0.5</v>
      </c>
      <c r="BM31" s="14">
        <f t="shared" si="72"/>
        <v>0.5</v>
      </c>
      <c r="BN31" s="14">
        <f t="shared" si="72"/>
        <v>0</v>
      </c>
      <c r="BO31" s="14">
        <f t="shared" si="72"/>
        <v>0</v>
      </c>
      <c r="BP31" s="14">
        <v>0</v>
      </c>
    </row>
    <row r="32" spans="1:68" x14ac:dyDescent="0.3">
      <c r="A32" s="29"/>
      <c r="B32" s="6" t="s">
        <v>47</v>
      </c>
      <c r="C32" s="13"/>
      <c r="D32" s="12">
        <v>53</v>
      </c>
      <c r="E32" s="13"/>
      <c r="F32" s="12">
        <v>73</v>
      </c>
      <c r="G32" s="12">
        <v>2</v>
      </c>
      <c r="H32" s="12">
        <v>1</v>
      </c>
      <c r="I32" s="13"/>
      <c r="J32" s="12">
        <v>4</v>
      </c>
      <c r="K32" s="13"/>
      <c r="L32" s="13"/>
      <c r="M32" s="12">
        <v>1</v>
      </c>
      <c r="N32" s="12">
        <v>1</v>
      </c>
      <c r="O32" s="12">
        <v>59</v>
      </c>
      <c r="P32" s="13"/>
      <c r="Q32" s="12">
        <v>59</v>
      </c>
      <c r="R32" s="12">
        <v>1</v>
      </c>
      <c r="S32" s="12">
        <v>1</v>
      </c>
      <c r="T32" s="12">
        <v>2</v>
      </c>
      <c r="U32" s="12">
        <v>6</v>
      </c>
      <c r="V32" s="13"/>
      <c r="W32" s="13"/>
      <c r="X32" s="13"/>
      <c r="Y32" s="13"/>
      <c r="Z32" s="12">
        <v>63</v>
      </c>
      <c r="AA32" s="12">
        <v>1</v>
      </c>
      <c r="AB32" s="12">
        <v>111</v>
      </c>
      <c r="AC32" s="12">
        <v>2</v>
      </c>
      <c r="AD32" s="12">
        <v>2</v>
      </c>
      <c r="AE32" s="13"/>
      <c r="AF32" s="12">
        <v>1</v>
      </c>
      <c r="AG32" s="12">
        <v>1</v>
      </c>
      <c r="AH32" s="13"/>
      <c r="AI32" s="12">
        <v>1</v>
      </c>
      <c r="AJ32" s="12">
        <v>1</v>
      </c>
      <c r="AK32" s="12">
        <v>20</v>
      </c>
      <c r="AL32" s="12">
        <v>1</v>
      </c>
      <c r="AM32" s="12">
        <v>82</v>
      </c>
      <c r="AN32" s="12">
        <v>1</v>
      </c>
      <c r="AO32" s="13"/>
      <c r="AP32" s="12">
        <v>1</v>
      </c>
      <c r="AQ32" s="12">
        <v>1</v>
      </c>
      <c r="AR32" s="13"/>
      <c r="AS32" s="13"/>
      <c r="AT32" s="13"/>
      <c r="AU32" s="14">
        <v>0</v>
      </c>
      <c r="AV32" s="14">
        <f t="shared" ref="AV32:AV33" si="73">O32/D32-1</f>
        <v>0.1132075471698113</v>
      </c>
      <c r="AW32" s="14">
        <v>0</v>
      </c>
      <c r="AX32" s="14">
        <f t="shared" ref="AX32:AZ32" si="74">Q32/F32-1</f>
        <v>-0.19178082191780821</v>
      </c>
      <c r="AY32" s="14">
        <f t="shared" si="74"/>
        <v>-0.5</v>
      </c>
      <c r="AZ32" s="14">
        <f t="shared" si="74"/>
        <v>0</v>
      </c>
      <c r="BA32" s="14">
        <v>0</v>
      </c>
      <c r="BB32" s="14">
        <f t="shared" ref="BB32:BB35" si="75">U32/J32-1</f>
        <v>0.5</v>
      </c>
      <c r="BC32" s="14">
        <v>0</v>
      </c>
      <c r="BD32" s="14">
        <v>0</v>
      </c>
      <c r="BE32" s="14">
        <f t="shared" ref="BE32:BG32" si="76">X32/M32-1</f>
        <v>-1</v>
      </c>
      <c r="BF32" s="14">
        <f t="shared" si="76"/>
        <v>-1</v>
      </c>
      <c r="BG32" s="14">
        <f t="shared" si="76"/>
        <v>6.7796610169491567E-2</v>
      </c>
      <c r="BH32" s="14">
        <v>0</v>
      </c>
      <c r="BI32" s="14">
        <f t="shared" ref="BI32:BM32" si="77">AB32/Q32-1</f>
        <v>0.88135593220338992</v>
      </c>
      <c r="BJ32" s="14">
        <f t="shared" si="77"/>
        <v>1</v>
      </c>
      <c r="BK32" s="14">
        <f t="shared" si="77"/>
        <v>1</v>
      </c>
      <c r="BL32" s="14">
        <f t="shared" si="77"/>
        <v>-1</v>
      </c>
      <c r="BM32" s="14">
        <f t="shared" si="77"/>
        <v>-0.83333333333333337</v>
      </c>
      <c r="BN32" s="14">
        <v>0</v>
      </c>
      <c r="BO32" s="14">
        <v>0</v>
      </c>
      <c r="BP32" s="14">
        <v>0</v>
      </c>
    </row>
    <row r="33" spans="1:68" x14ac:dyDescent="0.3">
      <c r="A33" s="29"/>
      <c r="B33" s="6" t="s">
        <v>48</v>
      </c>
      <c r="C33" s="13"/>
      <c r="D33" s="12">
        <v>121</v>
      </c>
      <c r="E33" s="13"/>
      <c r="F33" s="12">
        <v>35</v>
      </c>
      <c r="G33" s="12">
        <v>5</v>
      </c>
      <c r="H33" s="12">
        <v>3</v>
      </c>
      <c r="I33" s="13"/>
      <c r="J33" s="12">
        <v>20</v>
      </c>
      <c r="K33" s="12">
        <v>1</v>
      </c>
      <c r="L33" s="12">
        <v>3</v>
      </c>
      <c r="M33" s="13"/>
      <c r="N33" s="12">
        <v>1</v>
      </c>
      <c r="O33" s="12">
        <v>169</v>
      </c>
      <c r="P33" s="15"/>
      <c r="Q33" s="12">
        <v>57</v>
      </c>
      <c r="R33" s="12">
        <v>3</v>
      </c>
      <c r="S33" s="12">
        <v>1</v>
      </c>
      <c r="T33" s="12">
        <v>2</v>
      </c>
      <c r="U33" s="12">
        <v>21</v>
      </c>
      <c r="V33" s="13"/>
      <c r="W33" s="12">
        <v>2</v>
      </c>
      <c r="X33" s="12">
        <v>1</v>
      </c>
      <c r="Y33" s="12">
        <v>3</v>
      </c>
      <c r="Z33" s="12">
        <v>140</v>
      </c>
      <c r="AA33" s="13"/>
      <c r="AB33" s="12">
        <v>53</v>
      </c>
      <c r="AC33" s="12">
        <v>3</v>
      </c>
      <c r="AD33" s="12">
        <v>1</v>
      </c>
      <c r="AE33" s="12">
        <v>3</v>
      </c>
      <c r="AF33" s="12">
        <v>23</v>
      </c>
      <c r="AG33" s="13"/>
      <c r="AH33" s="12">
        <v>2</v>
      </c>
      <c r="AI33" s="13"/>
      <c r="AJ33" s="12">
        <v>3</v>
      </c>
      <c r="AK33" s="12">
        <v>37</v>
      </c>
      <c r="AL33" s="13"/>
      <c r="AM33" s="12">
        <v>32</v>
      </c>
      <c r="AN33" s="12">
        <v>2</v>
      </c>
      <c r="AO33" s="13"/>
      <c r="AP33" s="12">
        <v>1</v>
      </c>
      <c r="AQ33" s="12">
        <v>8</v>
      </c>
      <c r="AR33" s="12">
        <v>1</v>
      </c>
      <c r="AS33" s="13"/>
      <c r="AT33" s="13"/>
      <c r="AU33" s="14">
        <v>0</v>
      </c>
      <c r="AV33" s="14">
        <f t="shared" si="73"/>
        <v>0.39669421487603307</v>
      </c>
      <c r="AW33" s="14">
        <v>0</v>
      </c>
      <c r="AX33" s="14">
        <f t="shared" ref="AX33:AZ33" si="78">Q33/F33-1</f>
        <v>0.62857142857142856</v>
      </c>
      <c r="AY33" s="14">
        <f t="shared" si="78"/>
        <v>-0.4</v>
      </c>
      <c r="AZ33" s="14">
        <f t="shared" si="78"/>
        <v>-0.66666666666666674</v>
      </c>
      <c r="BA33" s="14">
        <v>0</v>
      </c>
      <c r="BB33" s="14">
        <f t="shared" si="75"/>
        <v>5.0000000000000044E-2</v>
      </c>
      <c r="BC33" s="14">
        <f t="shared" ref="BC33:BD33" si="79">V33/K33-1</f>
        <v>-1</v>
      </c>
      <c r="BD33" s="14">
        <f t="shared" si="79"/>
        <v>-0.33333333333333337</v>
      </c>
      <c r="BE33" s="14">
        <v>0</v>
      </c>
      <c r="BF33" s="14">
        <f t="shared" ref="BF33:BG33" si="80">Y33/N33-1</f>
        <v>2</v>
      </c>
      <c r="BG33" s="14">
        <f t="shared" si="80"/>
        <v>-0.17159763313609466</v>
      </c>
      <c r="BH33" s="14">
        <v>0</v>
      </c>
      <c r="BI33" s="14">
        <f t="shared" ref="BI33:BM33" si="81">AB33/Q33-1</f>
        <v>-7.0175438596491224E-2</v>
      </c>
      <c r="BJ33" s="14">
        <f t="shared" si="81"/>
        <v>0</v>
      </c>
      <c r="BK33" s="14">
        <f t="shared" si="81"/>
        <v>0</v>
      </c>
      <c r="BL33" s="14">
        <f t="shared" si="81"/>
        <v>0.5</v>
      </c>
      <c r="BM33" s="14">
        <f t="shared" si="81"/>
        <v>9.5238095238095344E-2</v>
      </c>
      <c r="BN33" s="14">
        <v>0</v>
      </c>
      <c r="BO33" s="14">
        <f t="shared" ref="BO33:BP33" si="82">AH33/W33-1</f>
        <v>0</v>
      </c>
      <c r="BP33" s="14">
        <f t="shared" si="82"/>
        <v>-1</v>
      </c>
    </row>
    <row r="34" spans="1:68" x14ac:dyDescent="0.3">
      <c r="A34" s="29"/>
      <c r="B34" s="6" t="s">
        <v>49</v>
      </c>
      <c r="C34" s="12">
        <v>2</v>
      </c>
      <c r="D34" s="12">
        <v>67</v>
      </c>
      <c r="E34" s="13"/>
      <c r="F34" s="12">
        <v>32</v>
      </c>
      <c r="G34" s="12">
        <v>1</v>
      </c>
      <c r="H34" s="12">
        <v>1</v>
      </c>
      <c r="I34" s="13"/>
      <c r="J34" s="12">
        <v>12</v>
      </c>
      <c r="K34" s="12">
        <v>1</v>
      </c>
      <c r="L34" s="12">
        <v>1</v>
      </c>
      <c r="M34" s="12">
        <v>1</v>
      </c>
      <c r="N34" s="13"/>
      <c r="O34" s="12">
        <v>100</v>
      </c>
      <c r="P34" s="13"/>
      <c r="Q34" s="12">
        <v>23</v>
      </c>
      <c r="R34" s="12">
        <v>4</v>
      </c>
      <c r="S34" s="12">
        <v>3</v>
      </c>
      <c r="T34" s="12">
        <v>3</v>
      </c>
      <c r="U34" s="12">
        <v>9</v>
      </c>
      <c r="V34" s="12">
        <v>1</v>
      </c>
      <c r="W34" s="12">
        <v>5</v>
      </c>
      <c r="X34" s="12">
        <v>1</v>
      </c>
      <c r="Y34" s="13"/>
      <c r="Z34" s="12">
        <v>104</v>
      </c>
      <c r="AA34" s="13"/>
      <c r="AB34" s="12">
        <v>22</v>
      </c>
      <c r="AC34" s="12">
        <v>5</v>
      </c>
      <c r="AD34" s="12">
        <v>1</v>
      </c>
      <c r="AE34" s="12">
        <v>3</v>
      </c>
      <c r="AF34" s="12">
        <v>17</v>
      </c>
      <c r="AG34" s="12">
        <v>1</v>
      </c>
      <c r="AH34" s="13"/>
      <c r="AI34" s="12">
        <v>2</v>
      </c>
      <c r="AJ34" s="12">
        <v>1</v>
      </c>
      <c r="AK34" s="12">
        <v>26</v>
      </c>
      <c r="AL34" s="13"/>
      <c r="AM34" s="12">
        <v>7</v>
      </c>
      <c r="AN34" s="12">
        <v>1</v>
      </c>
      <c r="AO34" s="12">
        <v>1</v>
      </c>
      <c r="AP34" s="13"/>
      <c r="AQ34" s="12">
        <v>6</v>
      </c>
      <c r="AR34" s="13"/>
      <c r="AS34" s="12">
        <v>1</v>
      </c>
      <c r="AT34" s="13"/>
      <c r="AU34" s="14">
        <f t="shared" ref="AU34:AV34" si="83">N34/C34-1</f>
        <v>-1</v>
      </c>
      <c r="AV34" s="14">
        <f t="shared" si="83"/>
        <v>0.49253731343283591</v>
      </c>
      <c r="AW34" s="14">
        <v>0</v>
      </c>
      <c r="AX34" s="14">
        <f t="shared" ref="AX34:AZ34" si="84">Q34/F34-1</f>
        <v>-0.28125</v>
      </c>
      <c r="AY34" s="14">
        <f t="shared" si="84"/>
        <v>3</v>
      </c>
      <c r="AZ34" s="14">
        <f t="shared" si="84"/>
        <v>2</v>
      </c>
      <c r="BA34" s="14">
        <v>0</v>
      </c>
      <c r="BB34" s="14">
        <f t="shared" si="75"/>
        <v>-0.25</v>
      </c>
      <c r="BC34" s="14">
        <f t="shared" ref="BC34:BE34" si="85">V34/K34-1</f>
        <v>0</v>
      </c>
      <c r="BD34" s="14">
        <f t="shared" si="85"/>
        <v>4</v>
      </c>
      <c r="BE34" s="14">
        <f t="shared" si="85"/>
        <v>0</v>
      </c>
      <c r="BF34" s="14">
        <v>0</v>
      </c>
      <c r="BG34" s="14">
        <f t="shared" ref="BG34:BG35" si="86">Z34/O34-1</f>
        <v>4.0000000000000036E-2</v>
      </c>
      <c r="BH34" s="14">
        <v>0</v>
      </c>
      <c r="BI34" s="14">
        <f t="shared" ref="BI34:BP34" si="87">AB34/Q34-1</f>
        <v>-4.3478260869565188E-2</v>
      </c>
      <c r="BJ34" s="14">
        <f t="shared" si="87"/>
        <v>0.25</v>
      </c>
      <c r="BK34" s="14">
        <f t="shared" si="87"/>
        <v>-0.66666666666666674</v>
      </c>
      <c r="BL34" s="14">
        <f t="shared" si="87"/>
        <v>0</v>
      </c>
      <c r="BM34" s="14">
        <f t="shared" si="87"/>
        <v>0.88888888888888884</v>
      </c>
      <c r="BN34" s="14">
        <f t="shared" si="87"/>
        <v>0</v>
      </c>
      <c r="BO34" s="14">
        <f t="shared" si="87"/>
        <v>-1</v>
      </c>
      <c r="BP34" s="14">
        <f t="shared" si="87"/>
        <v>1</v>
      </c>
    </row>
    <row r="35" spans="1:68" x14ac:dyDescent="0.3">
      <c r="A35" s="29"/>
      <c r="B35" s="6" t="s">
        <v>50</v>
      </c>
      <c r="C35" s="13"/>
      <c r="D35" s="12">
        <v>51</v>
      </c>
      <c r="E35" s="13"/>
      <c r="F35" s="12">
        <v>218</v>
      </c>
      <c r="G35" s="12">
        <v>7</v>
      </c>
      <c r="H35" s="13"/>
      <c r="I35" s="13"/>
      <c r="J35" s="12">
        <v>8</v>
      </c>
      <c r="K35" s="13"/>
      <c r="L35" s="13"/>
      <c r="M35" s="12">
        <v>1</v>
      </c>
      <c r="N35" s="13"/>
      <c r="O35" s="12">
        <v>97</v>
      </c>
      <c r="P35" s="13"/>
      <c r="Q35" s="12">
        <v>170</v>
      </c>
      <c r="R35" s="12">
        <v>18</v>
      </c>
      <c r="S35" s="13"/>
      <c r="T35" s="13"/>
      <c r="U35" s="12">
        <v>10</v>
      </c>
      <c r="V35" s="13"/>
      <c r="W35" s="12">
        <v>2</v>
      </c>
      <c r="X35" s="13"/>
      <c r="Y35" s="13"/>
      <c r="Z35" s="12">
        <v>72</v>
      </c>
      <c r="AA35" s="13"/>
      <c r="AB35" s="12">
        <v>67</v>
      </c>
      <c r="AC35" s="12">
        <v>8</v>
      </c>
      <c r="AD35" s="13"/>
      <c r="AE35" s="13"/>
      <c r="AF35" s="12">
        <v>14</v>
      </c>
      <c r="AG35" s="12">
        <v>1</v>
      </c>
      <c r="AH35" s="12">
        <v>1</v>
      </c>
      <c r="AI35" s="13"/>
      <c r="AJ35" s="12">
        <v>1</v>
      </c>
      <c r="AK35" s="12">
        <v>13</v>
      </c>
      <c r="AL35" s="13"/>
      <c r="AM35" s="12">
        <v>36</v>
      </c>
      <c r="AN35" s="12">
        <v>3</v>
      </c>
      <c r="AO35" s="13"/>
      <c r="AP35" s="13"/>
      <c r="AQ35" s="12">
        <v>2</v>
      </c>
      <c r="AR35" s="13"/>
      <c r="AS35" s="13"/>
      <c r="AT35" s="13"/>
      <c r="AU35" s="14">
        <v>0</v>
      </c>
      <c r="AV35" s="14">
        <f t="shared" ref="AV35:AV36" si="88">O35/D35-1</f>
        <v>0.90196078431372539</v>
      </c>
      <c r="AW35" s="14">
        <v>0</v>
      </c>
      <c r="AX35" s="14">
        <f t="shared" ref="AX35:AY35" si="89">Q35/F35-1</f>
        <v>-0.22018348623853212</v>
      </c>
      <c r="AY35" s="14">
        <f t="shared" si="89"/>
        <v>1.5714285714285716</v>
      </c>
      <c r="AZ35" s="14">
        <v>0</v>
      </c>
      <c r="BA35" s="14">
        <v>0</v>
      </c>
      <c r="BB35" s="14">
        <f t="shared" si="75"/>
        <v>0.25</v>
      </c>
      <c r="BC35" s="14">
        <v>0</v>
      </c>
      <c r="BD35" s="14">
        <v>0</v>
      </c>
      <c r="BE35" s="14">
        <f>X35/M35-1</f>
        <v>-1</v>
      </c>
      <c r="BF35" s="14">
        <v>0</v>
      </c>
      <c r="BG35" s="14">
        <f t="shared" si="86"/>
        <v>-0.25773195876288657</v>
      </c>
      <c r="BH35" s="14">
        <v>0</v>
      </c>
      <c r="BI35" s="14">
        <f t="shared" ref="BI35:BJ35" si="90">AB35/Q35-1</f>
        <v>-0.60588235294117654</v>
      </c>
      <c r="BJ35" s="14">
        <f t="shared" si="90"/>
        <v>-0.55555555555555558</v>
      </c>
      <c r="BK35" s="14">
        <v>0</v>
      </c>
      <c r="BL35" s="14">
        <v>0</v>
      </c>
      <c r="BM35" s="14">
        <f>AF35/U35-1</f>
        <v>0.39999999999999991</v>
      </c>
      <c r="BN35" s="14">
        <v>0</v>
      </c>
      <c r="BO35" s="14">
        <f>AH35/W35-1</f>
        <v>-0.5</v>
      </c>
      <c r="BP35" s="14">
        <v>0</v>
      </c>
    </row>
    <row r="36" spans="1:68" x14ac:dyDescent="0.3">
      <c r="A36" s="29"/>
      <c r="B36" s="6" t="s">
        <v>51</v>
      </c>
      <c r="C36" s="13"/>
      <c r="D36" s="12">
        <v>58</v>
      </c>
      <c r="E36" s="13"/>
      <c r="F36" s="12">
        <v>38</v>
      </c>
      <c r="G36" s="12">
        <v>6</v>
      </c>
      <c r="H36" s="13"/>
      <c r="I36" s="12">
        <v>1</v>
      </c>
      <c r="J36" s="12">
        <v>12</v>
      </c>
      <c r="K36" s="12">
        <v>2</v>
      </c>
      <c r="L36" s="12">
        <v>2</v>
      </c>
      <c r="M36" s="12">
        <v>1</v>
      </c>
      <c r="N36" s="12">
        <v>3</v>
      </c>
      <c r="O36" s="12">
        <v>67</v>
      </c>
      <c r="P36" s="12">
        <v>1</v>
      </c>
      <c r="Q36" s="12">
        <v>28</v>
      </c>
      <c r="R36" s="12">
        <v>7</v>
      </c>
      <c r="S36" s="13"/>
      <c r="T36" s="12">
        <v>4</v>
      </c>
      <c r="U36" s="12">
        <v>16</v>
      </c>
      <c r="V36" s="12">
        <v>2</v>
      </c>
      <c r="W36" s="12">
        <v>1</v>
      </c>
      <c r="X36" s="13"/>
      <c r="Y36" s="13"/>
      <c r="Z36" s="12">
        <v>101</v>
      </c>
      <c r="AA36" s="13"/>
      <c r="AB36" s="12">
        <v>41</v>
      </c>
      <c r="AC36" s="12">
        <v>13</v>
      </c>
      <c r="AD36" s="12">
        <v>1</v>
      </c>
      <c r="AE36" s="12">
        <v>2</v>
      </c>
      <c r="AF36" s="12">
        <v>14</v>
      </c>
      <c r="AG36" s="12">
        <v>1</v>
      </c>
      <c r="AH36" s="13"/>
      <c r="AI36" s="12">
        <v>1</v>
      </c>
      <c r="AJ36" s="13"/>
      <c r="AK36" s="12">
        <v>20</v>
      </c>
      <c r="AL36" s="13"/>
      <c r="AM36" s="12">
        <v>22</v>
      </c>
      <c r="AN36" s="12">
        <v>3</v>
      </c>
      <c r="AO36" s="13"/>
      <c r="AP36" s="13"/>
      <c r="AQ36" s="12">
        <v>9</v>
      </c>
      <c r="AR36" s="13"/>
      <c r="AS36" s="13"/>
      <c r="AT36" s="12">
        <v>1</v>
      </c>
      <c r="AU36" s="14">
        <v>0</v>
      </c>
      <c r="AV36" s="14">
        <f t="shared" si="88"/>
        <v>0.15517241379310343</v>
      </c>
      <c r="AW36" s="14">
        <v>0</v>
      </c>
      <c r="AX36" s="14">
        <f t="shared" ref="AX36:AY36" si="91">Q36/F36-1</f>
        <v>-0.26315789473684215</v>
      </c>
      <c r="AY36" s="14">
        <f t="shared" si="91"/>
        <v>0.16666666666666674</v>
      </c>
      <c r="AZ36" s="14">
        <v>0</v>
      </c>
      <c r="BA36" s="14">
        <f t="shared" ref="BA36:BJ36" si="92">T36/I36-1</f>
        <v>3</v>
      </c>
      <c r="BB36" s="14">
        <f t="shared" si="92"/>
        <v>0.33333333333333326</v>
      </c>
      <c r="BC36" s="14">
        <f t="shared" si="92"/>
        <v>0</v>
      </c>
      <c r="BD36" s="14">
        <f t="shared" si="92"/>
        <v>-0.5</v>
      </c>
      <c r="BE36" s="14">
        <f t="shared" si="92"/>
        <v>-1</v>
      </c>
      <c r="BF36" s="14">
        <f t="shared" si="92"/>
        <v>-1</v>
      </c>
      <c r="BG36" s="14">
        <f t="shared" si="92"/>
        <v>0.50746268656716409</v>
      </c>
      <c r="BH36" s="14">
        <f t="shared" si="92"/>
        <v>-1</v>
      </c>
      <c r="BI36" s="14">
        <f t="shared" si="92"/>
        <v>0.46428571428571419</v>
      </c>
      <c r="BJ36" s="14">
        <f t="shared" si="92"/>
        <v>0.85714285714285721</v>
      </c>
      <c r="BK36" s="14">
        <v>0</v>
      </c>
      <c r="BL36" s="14">
        <f t="shared" ref="BL36:BO36" si="93">AE36/T36-1</f>
        <v>-0.5</v>
      </c>
      <c r="BM36" s="14">
        <f t="shared" si="93"/>
        <v>-0.125</v>
      </c>
      <c r="BN36" s="14">
        <f t="shared" si="93"/>
        <v>-0.5</v>
      </c>
      <c r="BO36" s="14">
        <f t="shared" si="93"/>
        <v>-1</v>
      </c>
      <c r="BP36" s="14">
        <v>0</v>
      </c>
    </row>
    <row r="37" spans="1:68" x14ac:dyDescent="0.3">
      <c r="A37" s="29"/>
      <c r="B37" s="6" t="s">
        <v>52</v>
      </c>
      <c r="C37" s="12">
        <v>1</v>
      </c>
      <c r="D37" s="12">
        <v>96</v>
      </c>
      <c r="E37" s="12">
        <v>1</v>
      </c>
      <c r="F37" s="12">
        <v>38</v>
      </c>
      <c r="G37" s="12">
        <v>9</v>
      </c>
      <c r="H37" s="12">
        <v>2</v>
      </c>
      <c r="I37" s="12">
        <v>1</v>
      </c>
      <c r="J37" s="12">
        <v>23</v>
      </c>
      <c r="K37" s="12">
        <v>2</v>
      </c>
      <c r="L37" s="12">
        <v>1</v>
      </c>
      <c r="M37" s="13"/>
      <c r="N37" s="12">
        <v>3</v>
      </c>
      <c r="O37" s="12">
        <v>83</v>
      </c>
      <c r="P37" s="13"/>
      <c r="Q37" s="12">
        <v>18</v>
      </c>
      <c r="R37" s="12">
        <v>5</v>
      </c>
      <c r="S37" s="13"/>
      <c r="T37" s="12">
        <v>1</v>
      </c>
      <c r="U37" s="12">
        <v>20</v>
      </c>
      <c r="V37" s="13"/>
      <c r="W37" s="12">
        <v>1</v>
      </c>
      <c r="X37" s="13"/>
      <c r="Y37" s="12">
        <v>1</v>
      </c>
      <c r="Z37" s="12">
        <v>79</v>
      </c>
      <c r="AA37" s="13"/>
      <c r="AB37" s="12">
        <v>23</v>
      </c>
      <c r="AC37" s="12">
        <v>6</v>
      </c>
      <c r="AD37" s="12">
        <v>3</v>
      </c>
      <c r="AE37" s="12">
        <v>4</v>
      </c>
      <c r="AF37" s="12">
        <v>32</v>
      </c>
      <c r="AG37" s="12">
        <v>2</v>
      </c>
      <c r="AH37" s="12">
        <v>4</v>
      </c>
      <c r="AI37" s="13"/>
      <c r="AJ37" s="13"/>
      <c r="AK37" s="12">
        <v>20</v>
      </c>
      <c r="AL37" s="13"/>
      <c r="AM37" s="12">
        <v>9</v>
      </c>
      <c r="AN37" s="12">
        <v>4</v>
      </c>
      <c r="AO37" s="13"/>
      <c r="AP37" s="13"/>
      <c r="AQ37" s="12">
        <v>2</v>
      </c>
      <c r="AR37" s="12">
        <v>1</v>
      </c>
      <c r="AS37" s="12">
        <v>1</v>
      </c>
      <c r="AT37" s="13"/>
      <c r="AU37" s="14">
        <f t="shared" ref="AU37:BD37" si="94">N37/C37-1</f>
        <v>2</v>
      </c>
      <c r="AV37" s="14">
        <f t="shared" si="94"/>
        <v>-0.13541666666666663</v>
      </c>
      <c r="AW37" s="14">
        <f t="shared" si="94"/>
        <v>-1</v>
      </c>
      <c r="AX37" s="14">
        <f t="shared" si="94"/>
        <v>-0.52631578947368429</v>
      </c>
      <c r="AY37" s="14">
        <f t="shared" si="94"/>
        <v>-0.44444444444444442</v>
      </c>
      <c r="AZ37" s="14">
        <f t="shared" si="94"/>
        <v>-1</v>
      </c>
      <c r="BA37" s="14">
        <f t="shared" si="94"/>
        <v>0</v>
      </c>
      <c r="BB37" s="14">
        <f t="shared" si="94"/>
        <v>-0.13043478260869568</v>
      </c>
      <c r="BC37" s="14">
        <f t="shared" si="94"/>
        <v>-1</v>
      </c>
      <c r="BD37" s="14">
        <f t="shared" si="94"/>
        <v>0</v>
      </c>
      <c r="BE37" s="14">
        <v>0</v>
      </c>
      <c r="BF37" s="14">
        <f t="shared" ref="BF37:BG37" si="95">Y37/N37-1</f>
        <v>-0.66666666666666674</v>
      </c>
      <c r="BG37" s="14">
        <f t="shared" si="95"/>
        <v>-4.8192771084337394E-2</v>
      </c>
      <c r="BH37" s="14">
        <v>0</v>
      </c>
      <c r="BI37" s="14">
        <f t="shared" ref="BI37:BJ37" si="96">AB37/Q37-1</f>
        <v>0.27777777777777768</v>
      </c>
      <c r="BJ37" s="14">
        <f t="shared" si="96"/>
        <v>0.19999999999999996</v>
      </c>
      <c r="BK37" s="14">
        <v>0</v>
      </c>
      <c r="BL37" s="14">
        <f t="shared" ref="BL37:BM37" si="97">AE37/T37-1</f>
        <v>3</v>
      </c>
      <c r="BM37" s="14">
        <f t="shared" si="97"/>
        <v>0.60000000000000009</v>
      </c>
      <c r="BN37" s="14">
        <v>0</v>
      </c>
      <c r="BO37" s="14">
        <f>AH37/W37-1</f>
        <v>3</v>
      </c>
      <c r="BP37" s="14">
        <v>0</v>
      </c>
    </row>
    <row r="38" spans="1:68" x14ac:dyDescent="0.3">
      <c r="A38" s="29"/>
      <c r="B38" s="6" t="s">
        <v>53</v>
      </c>
      <c r="C38" s="13"/>
      <c r="D38" s="12">
        <v>83</v>
      </c>
      <c r="E38" s="12">
        <v>1</v>
      </c>
      <c r="F38" s="12">
        <v>150</v>
      </c>
      <c r="G38" s="12">
        <v>2</v>
      </c>
      <c r="H38" s="12">
        <v>1</v>
      </c>
      <c r="I38" s="12">
        <v>2</v>
      </c>
      <c r="J38" s="12">
        <v>36</v>
      </c>
      <c r="K38" s="12">
        <v>5</v>
      </c>
      <c r="L38" s="12">
        <v>6</v>
      </c>
      <c r="M38" s="12">
        <v>1</v>
      </c>
      <c r="N38" s="12">
        <v>2</v>
      </c>
      <c r="O38" s="12">
        <v>99</v>
      </c>
      <c r="P38" s="13"/>
      <c r="Q38" s="12">
        <v>127</v>
      </c>
      <c r="R38" s="12">
        <v>4</v>
      </c>
      <c r="S38" s="13"/>
      <c r="T38" s="12">
        <v>4</v>
      </c>
      <c r="U38" s="12">
        <v>22</v>
      </c>
      <c r="V38" s="12">
        <v>3</v>
      </c>
      <c r="W38" s="12">
        <v>2</v>
      </c>
      <c r="X38" s="12">
        <v>1</v>
      </c>
      <c r="Y38" s="12">
        <v>1</v>
      </c>
      <c r="Z38" s="12">
        <v>79</v>
      </c>
      <c r="AA38" s="12">
        <v>1</v>
      </c>
      <c r="AB38" s="12">
        <v>60</v>
      </c>
      <c r="AC38" s="13"/>
      <c r="AD38" s="12">
        <v>2</v>
      </c>
      <c r="AE38" s="12">
        <v>5</v>
      </c>
      <c r="AF38" s="12">
        <v>45</v>
      </c>
      <c r="AG38" s="13"/>
      <c r="AH38" s="12">
        <v>2</v>
      </c>
      <c r="AI38" s="12">
        <v>2</v>
      </c>
      <c r="AJ38" s="12">
        <v>1</v>
      </c>
      <c r="AK38" s="12">
        <v>22</v>
      </c>
      <c r="AL38" s="13"/>
      <c r="AM38" s="12">
        <v>73</v>
      </c>
      <c r="AN38" s="12">
        <v>2</v>
      </c>
      <c r="AO38" s="13"/>
      <c r="AP38" s="12">
        <v>2</v>
      </c>
      <c r="AQ38" s="12">
        <v>15</v>
      </c>
      <c r="AR38" s="13"/>
      <c r="AS38" s="12">
        <v>1</v>
      </c>
      <c r="AT38" s="13"/>
      <c r="AU38" s="14">
        <v>0</v>
      </c>
      <c r="AV38" s="14">
        <f t="shared" ref="AV38:BG38" si="98">O38/D38-1</f>
        <v>0.19277108433734935</v>
      </c>
      <c r="AW38" s="14">
        <f t="shared" si="98"/>
        <v>-1</v>
      </c>
      <c r="AX38" s="14">
        <f t="shared" si="98"/>
        <v>-0.15333333333333332</v>
      </c>
      <c r="AY38" s="14">
        <f t="shared" si="98"/>
        <v>1</v>
      </c>
      <c r="AZ38" s="14">
        <f t="shared" si="98"/>
        <v>-1</v>
      </c>
      <c r="BA38" s="14">
        <f t="shared" si="98"/>
        <v>1</v>
      </c>
      <c r="BB38" s="14">
        <f t="shared" si="98"/>
        <v>-0.38888888888888884</v>
      </c>
      <c r="BC38" s="14">
        <f t="shared" si="98"/>
        <v>-0.4</v>
      </c>
      <c r="BD38" s="14">
        <f t="shared" si="98"/>
        <v>-0.66666666666666674</v>
      </c>
      <c r="BE38" s="14">
        <f t="shared" si="98"/>
        <v>0</v>
      </c>
      <c r="BF38" s="14">
        <f t="shared" si="98"/>
        <v>-0.5</v>
      </c>
      <c r="BG38" s="14">
        <f t="shared" si="98"/>
        <v>-0.20202020202020199</v>
      </c>
      <c r="BH38" s="14">
        <v>0</v>
      </c>
      <c r="BI38" s="14">
        <f t="shared" ref="BI38:BJ38" si="99">AB38/Q38-1</f>
        <v>-0.52755905511811019</v>
      </c>
      <c r="BJ38" s="14">
        <f t="shared" si="99"/>
        <v>-1</v>
      </c>
      <c r="BK38" s="14">
        <v>0</v>
      </c>
      <c r="BL38" s="14">
        <f t="shared" ref="BL38:BP38" si="100">AE38/T38-1</f>
        <v>0.25</v>
      </c>
      <c r="BM38" s="14">
        <f t="shared" si="100"/>
        <v>1.0454545454545454</v>
      </c>
      <c r="BN38" s="14">
        <f t="shared" si="100"/>
        <v>-1</v>
      </c>
      <c r="BO38" s="14">
        <f t="shared" si="100"/>
        <v>0</v>
      </c>
      <c r="BP38" s="14">
        <f t="shared" si="100"/>
        <v>1</v>
      </c>
    </row>
    <row r="39" spans="1:68" x14ac:dyDescent="0.3">
      <c r="A39" s="29"/>
      <c r="B39" s="6" t="s">
        <v>54</v>
      </c>
      <c r="C39" s="12">
        <v>1</v>
      </c>
      <c r="D39" s="12">
        <v>39</v>
      </c>
      <c r="E39" s="12">
        <v>1</v>
      </c>
      <c r="F39" s="12">
        <v>16</v>
      </c>
      <c r="G39" s="13"/>
      <c r="H39" s="12">
        <v>8</v>
      </c>
      <c r="I39" s="12">
        <v>1</v>
      </c>
      <c r="J39" s="12">
        <v>6</v>
      </c>
      <c r="K39" s="12">
        <v>1</v>
      </c>
      <c r="L39" s="12">
        <v>11</v>
      </c>
      <c r="M39" s="12">
        <v>6</v>
      </c>
      <c r="N39" s="12">
        <v>1</v>
      </c>
      <c r="O39" s="12">
        <v>43</v>
      </c>
      <c r="P39" s="13"/>
      <c r="Q39" s="12">
        <v>8</v>
      </c>
      <c r="R39" s="12">
        <v>3</v>
      </c>
      <c r="S39" s="12">
        <v>4</v>
      </c>
      <c r="T39" s="12">
        <v>1</v>
      </c>
      <c r="U39" s="12">
        <v>15</v>
      </c>
      <c r="V39" s="12">
        <v>3</v>
      </c>
      <c r="W39" s="12">
        <v>20</v>
      </c>
      <c r="X39" s="12">
        <v>1</v>
      </c>
      <c r="Y39" s="12">
        <v>1</v>
      </c>
      <c r="Z39" s="12">
        <v>47</v>
      </c>
      <c r="AA39" s="13"/>
      <c r="AB39" s="12">
        <v>25</v>
      </c>
      <c r="AC39" s="12">
        <v>1</v>
      </c>
      <c r="AD39" s="12">
        <v>1</v>
      </c>
      <c r="AE39" s="12">
        <v>1</v>
      </c>
      <c r="AF39" s="12">
        <v>15</v>
      </c>
      <c r="AG39" s="12">
        <v>2</v>
      </c>
      <c r="AH39" s="12">
        <v>16</v>
      </c>
      <c r="AI39" s="12">
        <v>2</v>
      </c>
      <c r="AJ39" s="13"/>
      <c r="AK39" s="12">
        <v>11</v>
      </c>
      <c r="AL39" s="13"/>
      <c r="AM39" s="12">
        <v>8</v>
      </c>
      <c r="AN39" s="13"/>
      <c r="AO39" s="12">
        <v>3</v>
      </c>
      <c r="AP39" s="13"/>
      <c r="AQ39" s="12">
        <v>11</v>
      </c>
      <c r="AR39" s="13"/>
      <c r="AS39" s="12">
        <v>2</v>
      </c>
      <c r="AT39" s="13"/>
      <c r="AU39" s="14">
        <f t="shared" ref="AU39:AX39" si="101">N39/C39-1</f>
        <v>0</v>
      </c>
      <c r="AV39" s="14">
        <f t="shared" si="101"/>
        <v>0.10256410256410264</v>
      </c>
      <c r="AW39" s="14">
        <f t="shared" si="101"/>
        <v>-1</v>
      </c>
      <c r="AX39" s="14">
        <f t="shared" si="101"/>
        <v>-0.5</v>
      </c>
      <c r="AY39" s="14">
        <v>0</v>
      </c>
      <c r="AZ39" s="14">
        <f t="shared" ref="AZ39:BG39" si="102">S39/H39-1</f>
        <v>-0.5</v>
      </c>
      <c r="BA39" s="14">
        <f t="shared" si="102"/>
        <v>0</v>
      </c>
      <c r="BB39" s="14">
        <f t="shared" si="102"/>
        <v>1.5</v>
      </c>
      <c r="BC39" s="14">
        <f t="shared" si="102"/>
        <v>2</v>
      </c>
      <c r="BD39" s="14">
        <f t="shared" si="102"/>
        <v>0.81818181818181812</v>
      </c>
      <c r="BE39" s="14">
        <f t="shared" si="102"/>
        <v>-0.83333333333333337</v>
      </c>
      <c r="BF39" s="14">
        <f t="shared" si="102"/>
        <v>0</v>
      </c>
      <c r="BG39" s="14">
        <f t="shared" si="102"/>
        <v>9.3023255813953432E-2</v>
      </c>
      <c r="BH39" s="14">
        <v>0</v>
      </c>
      <c r="BI39" s="14">
        <f t="shared" ref="BI39:BP39" si="103">AB39/Q39-1</f>
        <v>2.125</v>
      </c>
      <c r="BJ39" s="14">
        <f t="shared" si="103"/>
        <v>-0.66666666666666674</v>
      </c>
      <c r="BK39" s="14">
        <f t="shared" si="103"/>
        <v>-0.75</v>
      </c>
      <c r="BL39" s="14">
        <f t="shared" si="103"/>
        <v>0</v>
      </c>
      <c r="BM39" s="14">
        <f t="shared" si="103"/>
        <v>0</v>
      </c>
      <c r="BN39" s="14">
        <f t="shared" si="103"/>
        <v>-0.33333333333333337</v>
      </c>
      <c r="BO39" s="14">
        <f t="shared" si="103"/>
        <v>-0.19999999999999996</v>
      </c>
      <c r="BP39" s="14">
        <f t="shared" si="103"/>
        <v>1</v>
      </c>
    </row>
    <row r="40" spans="1:68" x14ac:dyDescent="0.3">
      <c r="A40" s="29"/>
      <c r="B40" s="6" t="s">
        <v>55</v>
      </c>
      <c r="C40" s="13"/>
      <c r="D40" s="12">
        <v>55</v>
      </c>
      <c r="E40" s="12">
        <v>1</v>
      </c>
      <c r="F40" s="12">
        <v>26</v>
      </c>
      <c r="G40" s="12">
        <v>3</v>
      </c>
      <c r="H40" s="12">
        <v>3</v>
      </c>
      <c r="I40" s="12">
        <v>1</v>
      </c>
      <c r="J40" s="12">
        <v>23</v>
      </c>
      <c r="K40" s="12">
        <v>5</v>
      </c>
      <c r="L40" s="12">
        <v>18</v>
      </c>
      <c r="M40" s="13"/>
      <c r="N40" s="13"/>
      <c r="O40" s="12">
        <v>65</v>
      </c>
      <c r="P40" s="12">
        <v>1</v>
      </c>
      <c r="Q40" s="12">
        <v>32</v>
      </c>
      <c r="R40" s="12">
        <v>10</v>
      </c>
      <c r="S40" s="12">
        <v>4</v>
      </c>
      <c r="T40" s="13"/>
      <c r="U40" s="12">
        <v>24</v>
      </c>
      <c r="V40" s="12">
        <v>7</v>
      </c>
      <c r="W40" s="12">
        <v>29</v>
      </c>
      <c r="X40" s="12">
        <v>2</v>
      </c>
      <c r="Y40" s="12">
        <v>2</v>
      </c>
      <c r="Z40" s="12">
        <v>74</v>
      </c>
      <c r="AA40" s="12">
        <v>2</v>
      </c>
      <c r="AB40" s="12">
        <v>65</v>
      </c>
      <c r="AC40" s="12">
        <v>25</v>
      </c>
      <c r="AD40" s="12">
        <v>2</v>
      </c>
      <c r="AE40" s="13"/>
      <c r="AF40" s="12">
        <v>25</v>
      </c>
      <c r="AG40" s="12">
        <v>2</v>
      </c>
      <c r="AH40" s="12">
        <v>7</v>
      </c>
      <c r="AI40" s="13"/>
      <c r="AJ40" s="12">
        <v>1</v>
      </c>
      <c r="AK40" s="12">
        <v>26</v>
      </c>
      <c r="AL40" s="13"/>
      <c r="AM40" s="12">
        <v>19</v>
      </c>
      <c r="AN40" s="13"/>
      <c r="AO40" s="12">
        <v>1</v>
      </c>
      <c r="AP40" s="13"/>
      <c r="AQ40" s="12">
        <v>7</v>
      </c>
      <c r="AR40" s="13"/>
      <c r="AS40" s="13"/>
      <c r="AT40" s="13"/>
      <c r="AU40" s="14">
        <v>0</v>
      </c>
      <c r="AV40" s="14">
        <f t="shared" ref="AV40:BD40" si="104">O40/D40-1</f>
        <v>0.18181818181818188</v>
      </c>
      <c r="AW40" s="14">
        <f t="shared" si="104"/>
        <v>0</v>
      </c>
      <c r="AX40" s="14">
        <f t="shared" si="104"/>
        <v>0.23076923076923084</v>
      </c>
      <c r="AY40" s="14">
        <f t="shared" si="104"/>
        <v>2.3333333333333335</v>
      </c>
      <c r="AZ40" s="14">
        <f t="shared" si="104"/>
        <v>0.33333333333333326</v>
      </c>
      <c r="BA40" s="14">
        <f t="shared" si="104"/>
        <v>-1</v>
      </c>
      <c r="BB40" s="14">
        <f t="shared" si="104"/>
        <v>4.3478260869565188E-2</v>
      </c>
      <c r="BC40" s="14">
        <f t="shared" si="104"/>
        <v>0.39999999999999991</v>
      </c>
      <c r="BD40" s="14">
        <f t="shared" si="104"/>
        <v>0.61111111111111116</v>
      </c>
      <c r="BE40" s="14">
        <v>0</v>
      </c>
      <c r="BF40" s="14">
        <v>0</v>
      </c>
      <c r="BG40" s="14">
        <f t="shared" ref="BG40:BK40" si="105">Z40/O40-1</f>
        <v>0.13846153846153841</v>
      </c>
      <c r="BH40" s="14">
        <f t="shared" si="105"/>
        <v>1</v>
      </c>
      <c r="BI40" s="14">
        <f t="shared" si="105"/>
        <v>1.03125</v>
      </c>
      <c r="BJ40" s="14">
        <f t="shared" si="105"/>
        <v>1.5</v>
      </c>
      <c r="BK40" s="14">
        <f t="shared" si="105"/>
        <v>-0.5</v>
      </c>
      <c r="BL40" s="14">
        <v>0</v>
      </c>
      <c r="BM40" s="14">
        <f t="shared" ref="BM40:BP40" si="106">AF40/U40-1</f>
        <v>4.1666666666666741E-2</v>
      </c>
      <c r="BN40" s="14">
        <f t="shared" si="106"/>
        <v>-0.7142857142857143</v>
      </c>
      <c r="BO40" s="14">
        <f t="shared" si="106"/>
        <v>-0.75862068965517238</v>
      </c>
      <c r="BP40" s="14">
        <f t="shared" si="106"/>
        <v>-1</v>
      </c>
    </row>
    <row r="41" spans="1:68" x14ac:dyDescent="0.3">
      <c r="A41" s="29"/>
      <c r="B41" s="6" t="s">
        <v>56</v>
      </c>
      <c r="C41" s="12">
        <v>1</v>
      </c>
      <c r="D41" s="12">
        <v>180</v>
      </c>
      <c r="E41" s="13"/>
      <c r="F41" s="12">
        <v>35</v>
      </c>
      <c r="G41" s="12">
        <v>3</v>
      </c>
      <c r="H41" s="12">
        <v>4</v>
      </c>
      <c r="I41" s="13"/>
      <c r="J41" s="12">
        <v>33</v>
      </c>
      <c r="K41" s="12">
        <v>11</v>
      </c>
      <c r="L41" s="12">
        <v>9</v>
      </c>
      <c r="M41" s="13"/>
      <c r="N41" s="12">
        <v>2</v>
      </c>
      <c r="O41" s="12">
        <v>202</v>
      </c>
      <c r="P41" s="13"/>
      <c r="Q41" s="12">
        <v>22</v>
      </c>
      <c r="R41" s="12">
        <v>5</v>
      </c>
      <c r="S41" s="12">
        <v>3</v>
      </c>
      <c r="T41" s="12">
        <v>2</v>
      </c>
      <c r="U41" s="12">
        <v>19</v>
      </c>
      <c r="V41" s="12">
        <v>3</v>
      </c>
      <c r="W41" s="12">
        <v>3</v>
      </c>
      <c r="X41" s="12">
        <v>1</v>
      </c>
      <c r="Y41" s="12">
        <v>2</v>
      </c>
      <c r="Z41" s="12">
        <v>157</v>
      </c>
      <c r="AA41" s="12">
        <v>4</v>
      </c>
      <c r="AB41" s="12">
        <v>26</v>
      </c>
      <c r="AC41" s="12">
        <v>3</v>
      </c>
      <c r="AD41" s="12">
        <v>2</v>
      </c>
      <c r="AE41" s="12">
        <v>4</v>
      </c>
      <c r="AF41" s="12">
        <v>39</v>
      </c>
      <c r="AG41" s="12">
        <v>5</v>
      </c>
      <c r="AH41" s="12">
        <v>10</v>
      </c>
      <c r="AI41" s="12">
        <v>1</v>
      </c>
      <c r="AJ41" s="12">
        <v>3</v>
      </c>
      <c r="AK41" s="12">
        <v>34</v>
      </c>
      <c r="AL41" s="12">
        <v>2</v>
      </c>
      <c r="AM41" s="12">
        <v>5</v>
      </c>
      <c r="AN41" s="12">
        <v>2</v>
      </c>
      <c r="AO41" s="13"/>
      <c r="AP41" s="13"/>
      <c r="AQ41" s="12">
        <v>10</v>
      </c>
      <c r="AR41" s="12">
        <v>1</v>
      </c>
      <c r="AS41" s="13"/>
      <c r="AT41" s="13"/>
      <c r="AU41" s="14">
        <f t="shared" ref="AU41:AV41" si="107">N41/C41-1</f>
        <v>1</v>
      </c>
      <c r="AV41" s="14">
        <f t="shared" si="107"/>
        <v>0.12222222222222223</v>
      </c>
      <c r="AW41" s="14">
        <v>0</v>
      </c>
      <c r="AX41" s="14">
        <f t="shared" ref="AX41:AZ41" si="108">Q41/F41-1</f>
        <v>-0.37142857142857144</v>
      </c>
      <c r="AY41" s="14">
        <f t="shared" si="108"/>
        <v>0.66666666666666674</v>
      </c>
      <c r="AZ41" s="14">
        <f t="shared" si="108"/>
        <v>-0.25</v>
      </c>
      <c r="BA41" s="14">
        <v>0</v>
      </c>
      <c r="BB41" s="14">
        <f t="shared" ref="BB41:BD41" si="109">U41/J41-1</f>
        <v>-0.4242424242424242</v>
      </c>
      <c r="BC41" s="14">
        <f t="shared" si="109"/>
        <v>-0.72727272727272729</v>
      </c>
      <c r="BD41" s="14">
        <f t="shared" si="109"/>
        <v>-0.66666666666666674</v>
      </c>
      <c r="BE41" s="14">
        <v>0</v>
      </c>
      <c r="BF41" s="14">
        <f t="shared" ref="BF41:BG41" si="110">Y41/N41-1</f>
        <v>0</v>
      </c>
      <c r="BG41" s="14">
        <f t="shared" si="110"/>
        <v>-0.22277227722772275</v>
      </c>
      <c r="BH41" s="14">
        <v>0</v>
      </c>
      <c r="BI41" s="14">
        <f t="shared" ref="BI41:BP41" si="111">AB41/Q41-1</f>
        <v>0.18181818181818188</v>
      </c>
      <c r="BJ41" s="14">
        <f t="shared" si="111"/>
        <v>-0.4</v>
      </c>
      <c r="BK41" s="14">
        <f t="shared" si="111"/>
        <v>-0.33333333333333337</v>
      </c>
      <c r="BL41" s="14">
        <f t="shared" si="111"/>
        <v>1</v>
      </c>
      <c r="BM41" s="14">
        <f t="shared" si="111"/>
        <v>1.0526315789473686</v>
      </c>
      <c r="BN41" s="14">
        <f t="shared" si="111"/>
        <v>0.66666666666666674</v>
      </c>
      <c r="BO41" s="14">
        <f t="shared" si="111"/>
        <v>2.3333333333333335</v>
      </c>
      <c r="BP41" s="14">
        <f t="shared" si="111"/>
        <v>0</v>
      </c>
    </row>
    <row r="42" spans="1:68" x14ac:dyDescent="0.3">
      <c r="A42" s="29"/>
      <c r="B42" s="6" t="s">
        <v>57</v>
      </c>
      <c r="C42" s="13"/>
      <c r="D42" s="12">
        <v>27</v>
      </c>
      <c r="E42" s="13"/>
      <c r="F42" s="12">
        <v>28</v>
      </c>
      <c r="G42" s="13"/>
      <c r="H42" s="13"/>
      <c r="I42" s="13"/>
      <c r="J42" s="12">
        <v>12</v>
      </c>
      <c r="K42" s="12">
        <v>6</v>
      </c>
      <c r="L42" s="12">
        <v>14</v>
      </c>
      <c r="M42" s="12">
        <v>1</v>
      </c>
      <c r="N42" s="13"/>
      <c r="O42" s="12">
        <v>67</v>
      </c>
      <c r="P42" s="12">
        <v>1</v>
      </c>
      <c r="Q42" s="12">
        <v>23</v>
      </c>
      <c r="R42" s="12">
        <v>1</v>
      </c>
      <c r="S42" s="12">
        <v>1</v>
      </c>
      <c r="T42" s="13"/>
      <c r="U42" s="12">
        <v>9</v>
      </c>
      <c r="V42" s="12">
        <v>6</v>
      </c>
      <c r="W42" s="12">
        <v>8</v>
      </c>
      <c r="X42" s="13"/>
      <c r="Y42" s="13"/>
      <c r="Z42" s="12">
        <v>59</v>
      </c>
      <c r="AA42" s="13"/>
      <c r="AB42" s="12">
        <v>12</v>
      </c>
      <c r="AC42" s="13"/>
      <c r="AD42" s="12">
        <v>4</v>
      </c>
      <c r="AE42" s="13"/>
      <c r="AF42" s="12">
        <v>11</v>
      </c>
      <c r="AG42" s="12">
        <v>3</v>
      </c>
      <c r="AH42" s="12">
        <v>10</v>
      </c>
      <c r="AI42" s="12">
        <v>1</v>
      </c>
      <c r="AJ42" s="13"/>
      <c r="AK42" s="12">
        <v>26</v>
      </c>
      <c r="AL42" s="13"/>
      <c r="AM42" s="12">
        <v>10</v>
      </c>
      <c r="AN42" s="13"/>
      <c r="AO42" s="12">
        <v>4</v>
      </c>
      <c r="AP42" s="13"/>
      <c r="AQ42" s="12">
        <v>6</v>
      </c>
      <c r="AR42" s="12">
        <v>1</v>
      </c>
      <c r="AS42" s="12">
        <v>3</v>
      </c>
      <c r="AT42" s="13"/>
      <c r="AU42" s="14">
        <v>0</v>
      </c>
      <c r="AV42" s="14">
        <f>O42/D42-1</f>
        <v>1.4814814814814814</v>
      </c>
      <c r="AW42" s="14">
        <v>0</v>
      </c>
      <c r="AX42" s="14">
        <f t="shared" ref="AX42:AX43" si="112">Q42/F42-1</f>
        <v>-0.1785714285714286</v>
      </c>
      <c r="AY42" s="14">
        <v>0</v>
      </c>
      <c r="AZ42" s="14">
        <v>0</v>
      </c>
      <c r="BA42" s="14">
        <v>0</v>
      </c>
      <c r="BB42" s="14">
        <f t="shared" ref="BB42:BE42" si="113">U42/J42-1</f>
        <v>-0.25</v>
      </c>
      <c r="BC42" s="14">
        <f t="shared" si="113"/>
        <v>0</v>
      </c>
      <c r="BD42" s="14">
        <f t="shared" si="113"/>
        <v>-0.4285714285714286</v>
      </c>
      <c r="BE42" s="14">
        <f t="shared" si="113"/>
        <v>-1</v>
      </c>
      <c r="BF42" s="14">
        <v>0</v>
      </c>
      <c r="BG42" s="14">
        <f t="shared" ref="BG42:BK42" si="114">Z42/O42-1</f>
        <v>-0.11940298507462688</v>
      </c>
      <c r="BH42" s="14">
        <f t="shared" si="114"/>
        <v>-1</v>
      </c>
      <c r="BI42" s="14">
        <f t="shared" si="114"/>
        <v>-0.47826086956521741</v>
      </c>
      <c r="BJ42" s="14">
        <f t="shared" si="114"/>
        <v>-1</v>
      </c>
      <c r="BK42" s="14">
        <f t="shared" si="114"/>
        <v>3</v>
      </c>
      <c r="BL42" s="14">
        <v>0</v>
      </c>
      <c r="BM42" s="14">
        <f t="shared" ref="BM42:BO42" si="115">AF42/U42-1</f>
        <v>0.22222222222222232</v>
      </c>
      <c r="BN42" s="14">
        <f t="shared" si="115"/>
        <v>-0.5</v>
      </c>
      <c r="BO42" s="14">
        <f t="shared" si="115"/>
        <v>0.25</v>
      </c>
      <c r="BP42" s="14">
        <v>0</v>
      </c>
    </row>
    <row r="43" spans="1:68" x14ac:dyDescent="0.3">
      <c r="A43" s="30"/>
      <c r="B43" s="11" t="s">
        <v>58</v>
      </c>
      <c r="C43" s="12">
        <v>1</v>
      </c>
      <c r="D43" s="12">
        <v>64</v>
      </c>
      <c r="E43" s="13"/>
      <c r="F43" s="12">
        <v>76</v>
      </c>
      <c r="G43" s="12">
        <v>4</v>
      </c>
      <c r="H43" s="12">
        <v>4</v>
      </c>
      <c r="I43" s="13"/>
      <c r="J43" s="12">
        <v>22</v>
      </c>
      <c r="K43" s="12">
        <v>2</v>
      </c>
      <c r="L43" s="12">
        <v>7</v>
      </c>
      <c r="M43" s="12">
        <v>2</v>
      </c>
      <c r="N43" s="12">
        <v>3</v>
      </c>
      <c r="O43" s="12">
        <v>95</v>
      </c>
      <c r="P43" s="13"/>
      <c r="Q43" s="12">
        <v>86</v>
      </c>
      <c r="R43" s="12">
        <v>4</v>
      </c>
      <c r="S43" s="13"/>
      <c r="T43" s="12">
        <v>1</v>
      </c>
      <c r="U43" s="12">
        <v>19</v>
      </c>
      <c r="V43" s="12">
        <v>2</v>
      </c>
      <c r="W43" s="12">
        <v>6</v>
      </c>
      <c r="X43" s="12">
        <v>2</v>
      </c>
      <c r="Y43" s="12">
        <v>4</v>
      </c>
      <c r="Z43" s="12">
        <v>86</v>
      </c>
      <c r="AA43" s="13"/>
      <c r="AB43" s="12">
        <v>73</v>
      </c>
      <c r="AC43" s="12">
        <v>4</v>
      </c>
      <c r="AD43" s="12">
        <v>6</v>
      </c>
      <c r="AE43" s="12">
        <v>5</v>
      </c>
      <c r="AF43" s="12">
        <v>18</v>
      </c>
      <c r="AG43" s="12">
        <v>1</v>
      </c>
      <c r="AH43" s="12">
        <v>2</v>
      </c>
      <c r="AI43" s="13"/>
      <c r="AJ43" s="13"/>
      <c r="AK43" s="12">
        <v>28</v>
      </c>
      <c r="AL43" s="13"/>
      <c r="AM43" s="12">
        <v>31</v>
      </c>
      <c r="AN43" s="12">
        <v>1</v>
      </c>
      <c r="AO43" s="12">
        <v>3</v>
      </c>
      <c r="AP43" s="12">
        <v>1</v>
      </c>
      <c r="AQ43" s="12">
        <v>5</v>
      </c>
      <c r="AR43" s="12">
        <v>1</v>
      </c>
      <c r="AS43" s="12">
        <v>3</v>
      </c>
      <c r="AT43" s="13"/>
      <c r="AU43" s="14">
        <f t="shared" ref="AU43:AV43" si="116">N43/C43-1</f>
        <v>2</v>
      </c>
      <c r="AV43" s="14">
        <f t="shared" si="116"/>
        <v>0.484375</v>
      </c>
      <c r="AW43" s="14">
        <v>0</v>
      </c>
      <c r="AX43" s="14">
        <f t="shared" si="112"/>
        <v>0.13157894736842102</v>
      </c>
      <c r="AY43" s="14">
        <f t="shared" ref="AY43:AZ43" si="117">R43/G43-1</f>
        <v>0</v>
      </c>
      <c r="AZ43" s="14">
        <f t="shared" si="117"/>
        <v>-1</v>
      </c>
      <c r="BA43" s="14">
        <v>0</v>
      </c>
      <c r="BB43" s="14">
        <f t="shared" ref="BB43:BG43" si="118">U43/J43-1</f>
        <v>-0.13636363636363635</v>
      </c>
      <c r="BC43" s="14">
        <f t="shared" si="118"/>
        <v>0</v>
      </c>
      <c r="BD43" s="14">
        <f t="shared" si="118"/>
        <v>-0.1428571428571429</v>
      </c>
      <c r="BE43" s="14">
        <f t="shared" si="118"/>
        <v>0</v>
      </c>
      <c r="BF43" s="14">
        <f t="shared" si="118"/>
        <v>0.33333333333333326</v>
      </c>
      <c r="BG43" s="14">
        <f t="shared" si="118"/>
        <v>-9.4736842105263119E-2</v>
      </c>
      <c r="BH43" s="14">
        <v>0</v>
      </c>
      <c r="BI43" s="14">
        <f t="shared" ref="BI43:BJ43" si="119">AB43/Q43-1</f>
        <v>-0.15116279069767447</v>
      </c>
      <c r="BJ43" s="14">
        <f t="shared" si="119"/>
        <v>0</v>
      </c>
      <c r="BK43" s="14">
        <v>0</v>
      </c>
      <c r="BL43" s="14">
        <f t="shared" ref="BL43:BP43" si="120">AE43/T43-1</f>
        <v>4</v>
      </c>
      <c r="BM43" s="14">
        <f t="shared" si="120"/>
        <v>-5.2631578947368474E-2</v>
      </c>
      <c r="BN43" s="14">
        <f t="shared" si="120"/>
        <v>-0.5</v>
      </c>
      <c r="BO43" s="14">
        <f t="shared" si="120"/>
        <v>-0.66666666666666674</v>
      </c>
      <c r="BP43" s="14">
        <f t="shared" si="120"/>
        <v>-1</v>
      </c>
    </row>
    <row r="44" spans="1:68" x14ac:dyDescent="0.3">
      <c r="A44" s="28" t="s">
        <v>59</v>
      </c>
      <c r="B44" s="11" t="s">
        <v>60</v>
      </c>
      <c r="C44" s="12">
        <v>2</v>
      </c>
      <c r="D44" s="12">
        <v>78</v>
      </c>
      <c r="E44" s="12">
        <v>1</v>
      </c>
      <c r="F44" s="12">
        <v>164</v>
      </c>
      <c r="G44" s="12">
        <v>111</v>
      </c>
      <c r="H44" s="13"/>
      <c r="I44" s="13"/>
      <c r="J44" s="12">
        <v>4</v>
      </c>
      <c r="K44" s="12">
        <v>1</v>
      </c>
      <c r="L44" s="12">
        <v>1</v>
      </c>
      <c r="M44" s="12">
        <v>1</v>
      </c>
      <c r="N44" s="13"/>
      <c r="O44" s="12">
        <v>83</v>
      </c>
      <c r="P44" s="13"/>
      <c r="Q44" s="12">
        <v>91</v>
      </c>
      <c r="R44" s="12">
        <v>64</v>
      </c>
      <c r="S44" s="13"/>
      <c r="T44" s="13"/>
      <c r="U44" s="12">
        <v>1</v>
      </c>
      <c r="V44" s="12">
        <v>1</v>
      </c>
      <c r="W44" s="12">
        <v>1</v>
      </c>
      <c r="X44" s="12">
        <v>1</v>
      </c>
      <c r="Y44" s="12">
        <v>2</v>
      </c>
      <c r="Z44" s="12">
        <v>75</v>
      </c>
      <c r="AA44" s="13"/>
      <c r="AB44" s="12">
        <v>74</v>
      </c>
      <c r="AC44" s="12">
        <v>69</v>
      </c>
      <c r="AD44" s="13"/>
      <c r="AE44" s="13"/>
      <c r="AF44" s="12">
        <v>1</v>
      </c>
      <c r="AG44" s="13"/>
      <c r="AH44" s="12">
        <v>1</v>
      </c>
      <c r="AI44" s="12">
        <v>3</v>
      </c>
      <c r="AJ44" s="13"/>
      <c r="AK44" s="12">
        <v>18</v>
      </c>
      <c r="AL44" s="15"/>
      <c r="AM44" s="12">
        <v>52</v>
      </c>
      <c r="AN44" s="12">
        <v>41</v>
      </c>
      <c r="AO44" s="13"/>
      <c r="AP44" s="13"/>
      <c r="AQ44" s="12"/>
      <c r="AR44" s="13"/>
      <c r="AS44" s="13"/>
      <c r="AT44" s="13"/>
      <c r="AU44" s="14">
        <f t="shared" ref="AU44:AY44" si="121">N44/C44-1</f>
        <v>-1</v>
      </c>
      <c r="AV44" s="14">
        <f t="shared" si="121"/>
        <v>6.4102564102564097E-2</v>
      </c>
      <c r="AW44" s="14">
        <f t="shared" si="121"/>
        <v>-1</v>
      </c>
      <c r="AX44" s="14">
        <f t="shared" si="121"/>
        <v>-0.44512195121951215</v>
      </c>
      <c r="AY44" s="14">
        <f t="shared" si="121"/>
        <v>-0.42342342342342343</v>
      </c>
      <c r="AZ44" s="14">
        <v>0</v>
      </c>
      <c r="BA44" s="14">
        <v>0</v>
      </c>
      <c r="BB44" s="14">
        <f t="shared" ref="BB44:BE44" si="122">U44/J44-1</f>
        <v>-0.75</v>
      </c>
      <c r="BC44" s="14">
        <f t="shared" si="122"/>
        <v>0</v>
      </c>
      <c r="BD44" s="14">
        <f t="shared" si="122"/>
        <v>0</v>
      </c>
      <c r="BE44" s="14">
        <f t="shared" si="122"/>
        <v>0</v>
      </c>
      <c r="BF44" s="14">
        <v>0</v>
      </c>
      <c r="BG44" s="14">
        <f t="shared" ref="BG44:BG47" si="123">Z44/O44-1</f>
        <v>-9.6385542168674676E-2</v>
      </c>
      <c r="BH44" s="14">
        <v>0</v>
      </c>
      <c r="BI44" s="14">
        <f t="shared" ref="BI44:BJ44" si="124">AB44/Q44-1</f>
        <v>-0.18681318681318682</v>
      </c>
      <c r="BJ44" s="14">
        <f t="shared" si="124"/>
        <v>7.8125E-2</v>
      </c>
      <c r="BK44" s="14">
        <v>0</v>
      </c>
      <c r="BL44" s="14">
        <v>0</v>
      </c>
      <c r="BM44" s="14">
        <f t="shared" ref="BM44:BP44" si="125">AF44/U44-1</f>
        <v>0</v>
      </c>
      <c r="BN44" s="14">
        <f t="shared" si="125"/>
        <v>-1</v>
      </c>
      <c r="BO44" s="14">
        <f t="shared" si="125"/>
        <v>0</v>
      </c>
      <c r="BP44" s="14">
        <f t="shared" si="125"/>
        <v>2</v>
      </c>
    </row>
    <row r="45" spans="1:68" x14ac:dyDescent="0.3">
      <c r="A45" s="30"/>
      <c r="B45" s="11" t="s">
        <v>61</v>
      </c>
      <c r="C45" s="13"/>
      <c r="D45" s="12">
        <v>51</v>
      </c>
      <c r="E45" s="13"/>
      <c r="F45" s="12">
        <v>154</v>
      </c>
      <c r="G45" s="12">
        <v>22</v>
      </c>
      <c r="H45" s="13"/>
      <c r="I45" s="12">
        <v>1</v>
      </c>
      <c r="J45" s="12">
        <v>12</v>
      </c>
      <c r="K45" s="13"/>
      <c r="L45" s="12">
        <v>1</v>
      </c>
      <c r="M45" s="12">
        <v>2</v>
      </c>
      <c r="N45" s="13"/>
      <c r="O45" s="12">
        <v>94</v>
      </c>
      <c r="P45" s="13"/>
      <c r="Q45" s="12">
        <v>98</v>
      </c>
      <c r="R45" s="12">
        <v>37</v>
      </c>
      <c r="S45" s="12">
        <v>1</v>
      </c>
      <c r="T45" s="13"/>
      <c r="U45" s="12">
        <v>23</v>
      </c>
      <c r="V45" s="13"/>
      <c r="W45" s="12">
        <v>10</v>
      </c>
      <c r="X45" s="13"/>
      <c r="Y45" s="13"/>
      <c r="Z45" s="12">
        <v>78</v>
      </c>
      <c r="AA45" s="13"/>
      <c r="AB45" s="12">
        <v>36</v>
      </c>
      <c r="AC45" s="12">
        <v>9</v>
      </c>
      <c r="AD45" s="13"/>
      <c r="AE45" s="12">
        <v>1</v>
      </c>
      <c r="AF45" s="12">
        <v>14</v>
      </c>
      <c r="AG45" s="12">
        <v>1</v>
      </c>
      <c r="AH45" s="12">
        <v>6</v>
      </c>
      <c r="AI45" s="12">
        <v>1</v>
      </c>
      <c r="AJ45" s="19"/>
      <c r="AK45" s="18">
        <v>21</v>
      </c>
      <c r="AL45" s="19"/>
      <c r="AM45" s="18">
        <v>23</v>
      </c>
      <c r="AN45" s="18">
        <v>3</v>
      </c>
      <c r="AO45" s="13"/>
      <c r="AP45" s="13"/>
      <c r="AQ45" s="12">
        <v>4</v>
      </c>
      <c r="AR45" s="13"/>
      <c r="AS45" s="13"/>
      <c r="AT45" s="13"/>
      <c r="AU45" s="14">
        <v>0</v>
      </c>
      <c r="AV45" s="14">
        <f t="shared" ref="AV45:AV47" si="126">O45/D45-1</f>
        <v>0.84313725490196068</v>
      </c>
      <c r="AW45" s="14">
        <v>0</v>
      </c>
      <c r="AX45" s="14">
        <f t="shared" ref="AX45:AY45" si="127">Q45/F45-1</f>
        <v>-0.36363636363636365</v>
      </c>
      <c r="AY45" s="14">
        <f t="shared" si="127"/>
        <v>0.68181818181818188</v>
      </c>
      <c r="AZ45" s="14">
        <v>0</v>
      </c>
      <c r="BA45" s="14">
        <f t="shared" ref="BA45:BB45" si="128">T45/I45-1</f>
        <v>-1</v>
      </c>
      <c r="BB45" s="14">
        <f t="shared" si="128"/>
        <v>0.91666666666666674</v>
      </c>
      <c r="BC45" s="14">
        <v>0</v>
      </c>
      <c r="BD45" s="14">
        <f t="shared" ref="BD45:BE45" si="129">W45/L45-1</f>
        <v>9</v>
      </c>
      <c r="BE45" s="14">
        <f t="shared" si="129"/>
        <v>-1</v>
      </c>
      <c r="BF45" s="14">
        <v>0</v>
      </c>
      <c r="BG45" s="14">
        <f t="shared" si="123"/>
        <v>-0.17021276595744683</v>
      </c>
      <c r="BH45" s="14">
        <v>0</v>
      </c>
      <c r="BI45" s="14">
        <f t="shared" ref="BI45:BK45" si="130">AB45/Q45-1</f>
        <v>-0.63265306122448983</v>
      </c>
      <c r="BJ45" s="14">
        <f t="shared" si="130"/>
        <v>-0.7567567567567568</v>
      </c>
      <c r="BK45" s="14">
        <f t="shared" si="130"/>
        <v>-1</v>
      </c>
      <c r="BL45" s="14">
        <v>0</v>
      </c>
      <c r="BM45" s="14">
        <f>AF45/U45-1</f>
        <v>-0.39130434782608692</v>
      </c>
      <c r="BN45" s="14">
        <v>0</v>
      </c>
      <c r="BO45" s="14">
        <f>AH45/W45-1</f>
        <v>-0.4</v>
      </c>
      <c r="BP45" s="14">
        <v>0</v>
      </c>
    </row>
    <row r="46" spans="1:68" x14ac:dyDescent="0.3">
      <c r="A46" s="28" t="s">
        <v>62</v>
      </c>
      <c r="B46" s="11" t="s">
        <v>63</v>
      </c>
      <c r="C46" s="13"/>
      <c r="D46" s="12">
        <v>40</v>
      </c>
      <c r="E46" s="13"/>
      <c r="F46" s="12">
        <v>54</v>
      </c>
      <c r="G46" s="13"/>
      <c r="H46" s="12">
        <v>1</v>
      </c>
      <c r="I46" s="13"/>
      <c r="J46" s="12">
        <v>6</v>
      </c>
      <c r="K46" s="13"/>
      <c r="L46" s="12">
        <v>4</v>
      </c>
      <c r="M46" s="13"/>
      <c r="N46" s="13"/>
      <c r="O46" s="12">
        <v>19</v>
      </c>
      <c r="P46" s="13"/>
      <c r="Q46" s="12">
        <v>7</v>
      </c>
      <c r="R46" s="13"/>
      <c r="S46" s="12">
        <v>3</v>
      </c>
      <c r="T46" s="12">
        <v>1</v>
      </c>
      <c r="U46" s="12">
        <v>10</v>
      </c>
      <c r="V46" s="12">
        <v>1</v>
      </c>
      <c r="W46" s="12">
        <v>7</v>
      </c>
      <c r="X46" s="13"/>
      <c r="Y46" s="13"/>
      <c r="Z46" s="12">
        <v>17</v>
      </c>
      <c r="AA46" s="13"/>
      <c r="AB46" s="12">
        <v>5</v>
      </c>
      <c r="AC46" s="13"/>
      <c r="AD46" s="12">
        <v>6</v>
      </c>
      <c r="AE46" s="13"/>
      <c r="AF46" s="12">
        <v>11</v>
      </c>
      <c r="AG46" s="13"/>
      <c r="AH46" s="12">
        <v>4</v>
      </c>
      <c r="AI46" s="13"/>
      <c r="AJ46" s="19"/>
      <c r="AK46" s="18">
        <v>4</v>
      </c>
      <c r="AL46" s="19"/>
      <c r="AM46" s="18">
        <v>2</v>
      </c>
      <c r="AN46" s="19"/>
      <c r="AO46" s="13"/>
      <c r="AP46" s="12">
        <v>1</v>
      </c>
      <c r="AQ46" s="12">
        <v>1</v>
      </c>
      <c r="AR46" s="13"/>
      <c r="AS46" s="12">
        <v>6</v>
      </c>
      <c r="AT46" s="13"/>
      <c r="AU46" s="14">
        <v>0</v>
      </c>
      <c r="AV46" s="14">
        <f t="shared" si="126"/>
        <v>-0.52500000000000002</v>
      </c>
      <c r="AW46" s="14">
        <v>0</v>
      </c>
      <c r="AX46" s="14">
        <f t="shared" ref="AX46:AX47" si="131">Q46/F46-1</f>
        <v>-0.87037037037037035</v>
      </c>
      <c r="AY46" s="14">
        <v>0</v>
      </c>
      <c r="AZ46" s="14">
        <f>S46/H46-1</f>
        <v>2</v>
      </c>
      <c r="BA46" s="14">
        <v>0</v>
      </c>
      <c r="BB46" s="14">
        <f t="shared" ref="BB46:BB47" si="132">U46/J46-1</f>
        <v>0.66666666666666674</v>
      </c>
      <c r="BC46" s="14">
        <v>0</v>
      </c>
      <c r="BD46" s="14">
        <f>W46/L46-1</f>
        <v>0.75</v>
      </c>
      <c r="BE46" s="14">
        <v>0</v>
      </c>
      <c r="BF46" s="14">
        <v>0</v>
      </c>
      <c r="BG46" s="14">
        <f t="shared" si="123"/>
        <v>-0.10526315789473684</v>
      </c>
      <c r="BH46" s="14">
        <v>0</v>
      </c>
      <c r="BI46" s="14">
        <f>AB46/Q46-1</f>
        <v>-0.2857142857142857</v>
      </c>
      <c r="BJ46" s="14">
        <v>0</v>
      </c>
      <c r="BK46" s="14">
        <f t="shared" ref="BK46:BO46" si="133">AD46/S46-1</f>
        <v>1</v>
      </c>
      <c r="BL46" s="14">
        <f t="shared" si="133"/>
        <v>-1</v>
      </c>
      <c r="BM46" s="14">
        <f t="shared" si="133"/>
        <v>0.10000000000000009</v>
      </c>
      <c r="BN46" s="14">
        <f t="shared" si="133"/>
        <v>-1</v>
      </c>
      <c r="BO46" s="14">
        <f t="shared" si="133"/>
        <v>-0.4285714285714286</v>
      </c>
      <c r="BP46" s="14">
        <v>0</v>
      </c>
    </row>
    <row r="47" spans="1:68" x14ac:dyDescent="0.3">
      <c r="A47" s="30"/>
      <c r="B47" s="11" t="s">
        <v>64</v>
      </c>
      <c r="C47" s="13"/>
      <c r="D47" s="12">
        <v>41</v>
      </c>
      <c r="E47" s="13"/>
      <c r="F47" s="12">
        <v>41</v>
      </c>
      <c r="G47" s="12">
        <v>1</v>
      </c>
      <c r="H47" s="13"/>
      <c r="I47" s="13"/>
      <c r="J47" s="12">
        <v>3</v>
      </c>
      <c r="K47" s="13"/>
      <c r="L47" s="13"/>
      <c r="M47" s="13"/>
      <c r="N47" s="13"/>
      <c r="O47" s="12">
        <v>51</v>
      </c>
      <c r="P47" s="12">
        <v>1</v>
      </c>
      <c r="Q47" s="12">
        <v>91</v>
      </c>
      <c r="R47" s="12">
        <v>4</v>
      </c>
      <c r="S47" s="13"/>
      <c r="T47" s="12">
        <v>1</v>
      </c>
      <c r="U47" s="12">
        <v>6</v>
      </c>
      <c r="V47" s="13"/>
      <c r="W47" s="13"/>
      <c r="X47" s="13"/>
      <c r="Y47" s="13"/>
      <c r="Z47" s="12">
        <v>40</v>
      </c>
      <c r="AA47" s="12">
        <v>1</v>
      </c>
      <c r="AB47" s="12">
        <v>72</v>
      </c>
      <c r="AC47" s="12">
        <v>2</v>
      </c>
      <c r="AD47" s="12">
        <v>3</v>
      </c>
      <c r="AE47" s="13"/>
      <c r="AF47" s="12">
        <v>5</v>
      </c>
      <c r="AG47" s="12">
        <v>1</v>
      </c>
      <c r="AH47" s="13"/>
      <c r="AI47" s="12">
        <v>1</v>
      </c>
      <c r="AJ47" s="19"/>
      <c r="AK47" s="18">
        <v>19</v>
      </c>
      <c r="AL47" s="19"/>
      <c r="AM47" s="18">
        <v>30</v>
      </c>
      <c r="AN47" s="18">
        <v>1</v>
      </c>
      <c r="AO47" s="13"/>
      <c r="AP47" s="13"/>
      <c r="AQ47" s="13"/>
      <c r="AR47" s="13"/>
      <c r="AS47" s="12">
        <v>1</v>
      </c>
      <c r="AT47" s="13"/>
      <c r="AU47" s="14">
        <v>0</v>
      </c>
      <c r="AV47" s="14">
        <f t="shared" si="126"/>
        <v>0.24390243902439024</v>
      </c>
      <c r="AW47" s="14">
        <v>0</v>
      </c>
      <c r="AX47" s="14">
        <f t="shared" si="131"/>
        <v>1.2195121951219514</v>
      </c>
      <c r="AY47" s="14">
        <f>R47/G47-1</f>
        <v>3</v>
      </c>
      <c r="AZ47" s="14">
        <v>0</v>
      </c>
      <c r="BA47" s="14">
        <v>0</v>
      </c>
      <c r="BB47" s="14">
        <f t="shared" si="132"/>
        <v>1</v>
      </c>
      <c r="BC47" s="14">
        <v>0</v>
      </c>
      <c r="BD47" s="14">
        <v>0</v>
      </c>
      <c r="BE47" s="14">
        <v>0</v>
      </c>
      <c r="BF47" s="14">
        <v>0</v>
      </c>
      <c r="BG47" s="14">
        <f t="shared" si="123"/>
        <v>-0.21568627450980393</v>
      </c>
      <c r="BH47" s="14">
        <f t="shared" ref="BH47:BJ47" si="134">AA47/P47-1</f>
        <v>0</v>
      </c>
      <c r="BI47" s="14">
        <f t="shared" si="134"/>
        <v>-0.20879120879120883</v>
      </c>
      <c r="BJ47" s="14">
        <f t="shared" si="134"/>
        <v>-0.5</v>
      </c>
      <c r="BK47" s="14">
        <v>0</v>
      </c>
      <c r="BL47" s="14">
        <f t="shared" ref="BL47:BM47" si="135">AE47/T47-1</f>
        <v>-1</v>
      </c>
      <c r="BM47" s="14">
        <f t="shared" si="135"/>
        <v>-0.16666666666666663</v>
      </c>
      <c r="BN47" s="14">
        <v>0</v>
      </c>
      <c r="BO47" s="14">
        <v>0</v>
      </c>
      <c r="BP47" s="14">
        <v>0</v>
      </c>
    </row>
    <row r="48" spans="1:68" x14ac:dyDescent="0.3">
      <c r="A48" s="1"/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7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</row>
    <row r="49" spans="1:68" ht="15" x14ac:dyDescent="0.3">
      <c r="A49" s="1"/>
      <c r="B49" s="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</row>
    <row r="50" spans="1:68" ht="15" x14ac:dyDescent="0.3">
      <c r="A50" s="1"/>
      <c r="B50" s="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</row>
    <row r="51" spans="1:68" ht="15" x14ac:dyDescent="0.3">
      <c r="A51" s="1"/>
      <c r="B51" s="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</row>
    <row r="52" spans="1:68" ht="15" x14ac:dyDescent="0.3">
      <c r="A52" s="1"/>
      <c r="B52" s="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</row>
    <row r="53" spans="1:68" ht="15" x14ac:dyDescent="0.3">
      <c r="A53" s="1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</row>
    <row r="54" spans="1:68" ht="15" x14ac:dyDescent="0.3">
      <c r="A54" s="1"/>
      <c r="B54" s="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</row>
    <row r="55" spans="1:68" ht="15" x14ac:dyDescent="0.3">
      <c r="A55" s="1"/>
      <c r="B55" s="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</row>
    <row r="56" spans="1:68" ht="15" x14ac:dyDescent="0.3">
      <c r="A56" s="1"/>
      <c r="B56" s="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</row>
    <row r="57" spans="1:68" ht="15" x14ac:dyDescent="0.3">
      <c r="A57" s="1"/>
      <c r="B57" s="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</row>
    <row r="58" spans="1:68" ht="15" x14ac:dyDescent="0.3">
      <c r="A58" s="1"/>
      <c r="B58" s="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</row>
    <row r="59" spans="1:68" ht="15" x14ac:dyDescent="0.3">
      <c r="A59" s="1"/>
      <c r="B59" s="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</row>
    <row r="60" spans="1:68" ht="15" x14ac:dyDescent="0.3">
      <c r="A60" s="1"/>
      <c r="B60" s="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</row>
    <row r="61" spans="1:68" ht="15" x14ac:dyDescent="0.3">
      <c r="A61" s="1"/>
      <c r="B61" s="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</row>
    <row r="62" spans="1:68" ht="15" x14ac:dyDescent="0.3">
      <c r="A62" s="1"/>
      <c r="B62" s="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</row>
    <row r="63" spans="1:68" ht="15" x14ac:dyDescent="0.3">
      <c r="A63" s="1"/>
      <c r="B63" s="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</row>
    <row r="64" spans="1:68" ht="15" x14ac:dyDescent="0.3">
      <c r="A64" s="1"/>
      <c r="B64" s="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</row>
    <row r="65" spans="1:68" ht="15" x14ac:dyDescent="0.3">
      <c r="A65" s="1"/>
      <c r="B65" s="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</row>
    <row r="66" spans="1:68" ht="15" x14ac:dyDescent="0.3">
      <c r="A66" s="1"/>
      <c r="B66" s="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</row>
    <row r="67" spans="1:68" ht="15" x14ac:dyDescent="0.3">
      <c r="A67" s="1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</row>
    <row r="68" spans="1:68" ht="15" x14ac:dyDescent="0.3">
      <c r="A68" s="1"/>
      <c r="B68" s="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</row>
    <row r="69" spans="1:68" ht="15" x14ac:dyDescent="0.3">
      <c r="A69" s="1"/>
      <c r="B69" s="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</row>
    <row r="70" spans="1:68" ht="15" x14ac:dyDescent="0.3">
      <c r="A70" s="1"/>
      <c r="B70" s="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</row>
    <row r="71" spans="1:68" ht="15" x14ac:dyDescent="0.3">
      <c r="A71" s="1"/>
      <c r="B71" s="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</row>
    <row r="72" spans="1:68" ht="15" x14ac:dyDescent="0.3">
      <c r="A72" s="1"/>
      <c r="B72" s="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</row>
    <row r="73" spans="1:68" ht="15" x14ac:dyDescent="0.3">
      <c r="A73" s="1"/>
      <c r="B73" s="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</row>
    <row r="74" spans="1:68" ht="15" x14ac:dyDescent="0.3">
      <c r="A74" s="1"/>
      <c r="B74" s="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</row>
    <row r="75" spans="1:68" ht="15" x14ac:dyDescent="0.3">
      <c r="A75" s="1"/>
      <c r="B75" s="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</row>
    <row r="76" spans="1:68" ht="15" x14ac:dyDescent="0.3">
      <c r="A76" s="1"/>
      <c r="B76" s="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</row>
    <row r="77" spans="1:68" ht="15" x14ac:dyDescent="0.3">
      <c r="A77" s="1"/>
      <c r="B77" s="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</row>
    <row r="78" spans="1:68" ht="15" x14ac:dyDescent="0.3">
      <c r="A78" s="1"/>
      <c r="B78" s="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</row>
    <row r="79" spans="1:68" ht="15" x14ac:dyDescent="0.3">
      <c r="A79" s="1"/>
      <c r="B79" s="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</row>
    <row r="80" spans="1:68" ht="15" x14ac:dyDescent="0.3">
      <c r="A80" s="1"/>
      <c r="B80" s="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</row>
    <row r="81" spans="1:68" ht="15" x14ac:dyDescent="0.3">
      <c r="A81" s="1"/>
      <c r="B81" s="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</row>
    <row r="82" spans="1:68" ht="15" x14ac:dyDescent="0.3">
      <c r="A82" s="1"/>
      <c r="B82" s="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</row>
    <row r="83" spans="1:68" ht="15" x14ac:dyDescent="0.3">
      <c r="A83" s="1"/>
      <c r="B83" s="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</row>
    <row r="84" spans="1:68" ht="15" x14ac:dyDescent="0.3">
      <c r="A84" s="1"/>
      <c r="B84" s="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</row>
    <row r="85" spans="1:68" ht="15" x14ac:dyDescent="0.3">
      <c r="A85" s="1"/>
      <c r="B85" s="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</row>
    <row r="86" spans="1:68" ht="15" x14ac:dyDescent="0.3">
      <c r="A86" s="1"/>
      <c r="B86" s="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</row>
    <row r="87" spans="1:68" ht="15" x14ac:dyDescent="0.3">
      <c r="A87" s="1"/>
      <c r="B87" s="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</row>
    <row r="88" spans="1:68" ht="15" x14ac:dyDescent="0.3">
      <c r="A88" s="1"/>
      <c r="B88" s="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</row>
    <row r="89" spans="1:68" ht="15" x14ac:dyDescent="0.3">
      <c r="A89" s="1"/>
      <c r="B89" s="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</row>
    <row r="90" spans="1:68" ht="15" x14ac:dyDescent="0.3">
      <c r="A90" s="1"/>
      <c r="B90" s="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</row>
    <row r="91" spans="1:68" ht="15" x14ac:dyDescent="0.3">
      <c r="A91" s="1"/>
      <c r="B91" s="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</row>
    <row r="92" spans="1:68" ht="15" x14ac:dyDescent="0.3">
      <c r="A92" s="1"/>
      <c r="B92" s="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</row>
    <row r="93" spans="1:68" ht="15" x14ac:dyDescent="0.3">
      <c r="A93" s="1"/>
      <c r="B93" s="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</row>
    <row r="94" spans="1:68" ht="15" x14ac:dyDescent="0.3">
      <c r="A94" s="1"/>
      <c r="B94" s="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</row>
    <row r="95" spans="1:68" ht="15" x14ac:dyDescent="0.3">
      <c r="A95" s="1"/>
      <c r="B95" s="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</row>
    <row r="96" spans="1:68" ht="15" x14ac:dyDescent="0.3">
      <c r="A96" s="1"/>
      <c r="B96" s="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</row>
    <row r="97" spans="1:68" ht="15" x14ac:dyDescent="0.3">
      <c r="A97" s="1"/>
      <c r="B97" s="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</row>
    <row r="98" spans="1:68" ht="15" x14ac:dyDescent="0.3">
      <c r="A98" s="1"/>
      <c r="B98" s="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</row>
    <row r="99" spans="1:68" ht="15" x14ac:dyDescent="0.3">
      <c r="A99" s="1"/>
      <c r="B99" s="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</row>
    <row r="100" spans="1:68" ht="15" x14ac:dyDescent="0.3">
      <c r="A100" s="1"/>
      <c r="B100" s="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</row>
    <row r="101" spans="1:68" ht="15" x14ac:dyDescent="0.3">
      <c r="A101" s="1"/>
      <c r="B101" s="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</row>
    <row r="102" spans="1:68" ht="15" x14ac:dyDescent="0.3">
      <c r="A102" s="1"/>
      <c r="B102" s="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</row>
    <row r="103" spans="1:68" ht="15" x14ac:dyDescent="0.3">
      <c r="A103" s="1"/>
      <c r="B103" s="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</row>
    <row r="104" spans="1:68" ht="15" x14ac:dyDescent="0.3">
      <c r="A104" s="1"/>
      <c r="B104" s="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</row>
    <row r="105" spans="1:68" ht="15" x14ac:dyDescent="0.3">
      <c r="A105" s="1"/>
      <c r="B105" s="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</row>
    <row r="106" spans="1:68" ht="15" x14ac:dyDescent="0.3">
      <c r="A106" s="1"/>
      <c r="B106" s="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</row>
    <row r="107" spans="1:68" ht="15" x14ac:dyDescent="0.3">
      <c r="A107" s="1"/>
      <c r="B107" s="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</row>
    <row r="108" spans="1:68" ht="15" x14ac:dyDescent="0.3">
      <c r="A108" s="1"/>
      <c r="B108" s="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</row>
    <row r="109" spans="1:68" ht="15" x14ac:dyDescent="0.3">
      <c r="A109" s="1"/>
      <c r="B109" s="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</row>
    <row r="110" spans="1:68" ht="15" x14ac:dyDescent="0.3">
      <c r="A110" s="1"/>
      <c r="B110" s="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</row>
    <row r="111" spans="1:68" ht="15" x14ac:dyDescent="0.3">
      <c r="A111" s="1"/>
      <c r="B111" s="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</row>
    <row r="112" spans="1:68" ht="15" x14ac:dyDescent="0.3">
      <c r="A112" s="1"/>
      <c r="B112" s="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</row>
    <row r="113" spans="1:68" ht="15" x14ac:dyDescent="0.3">
      <c r="A113" s="1"/>
      <c r="B113" s="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</row>
    <row r="114" spans="1:68" ht="15" x14ac:dyDescent="0.3">
      <c r="A114" s="1"/>
      <c r="B114" s="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</row>
    <row r="115" spans="1:68" ht="15" x14ac:dyDescent="0.3">
      <c r="A115" s="1"/>
      <c r="B115" s="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</row>
    <row r="116" spans="1:68" ht="15" x14ac:dyDescent="0.3">
      <c r="A116" s="1"/>
      <c r="B116" s="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</row>
    <row r="117" spans="1:68" ht="15" x14ac:dyDescent="0.3">
      <c r="A117" s="1"/>
      <c r="B117" s="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</row>
    <row r="118" spans="1:68" ht="15" x14ac:dyDescent="0.3">
      <c r="A118" s="1"/>
      <c r="B118" s="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</row>
    <row r="119" spans="1:68" ht="15" x14ac:dyDescent="0.3">
      <c r="A119" s="1"/>
      <c r="B119" s="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</row>
    <row r="120" spans="1:68" ht="15" x14ac:dyDescent="0.3">
      <c r="A120" s="1"/>
      <c r="B120" s="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</row>
    <row r="121" spans="1:68" ht="15" x14ac:dyDescent="0.3">
      <c r="A121" s="1"/>
      <c r="B121" s="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</row>
    <row r="122" spans="1:68" ht="15" x14ac:dyDescent="0.3">
      <c r="A122" s="1"/>
      <c r="B122" s="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</row>
    <row r="123" spans="1:68" ht="15" x14ac:dyDescent="0.3">
      <c r="A123" s="1"/>
      <c r="B123" s="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</row>
    <row r="124" spans="1:68" ht="15" x14ac:dyDescent="0.3">
      <c r="A124" s="1"/>
      <c r="B124" s="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</row>
    <row r="125" spans="1:68" ht="15" x14ac:dyDescent="0.3">
      <c r="A125" s="1"/>
      <c r="B125" s="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</row>
    <row r="126" spans="1:68" ht="15" x14ac:dyDescent="0.3">
      <c r="A126" s="1"/>
      <c r="B126" s="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</row>
    <row r="127" spans="1:68" ht="15" x14ac:dyDescent="0.3">
      <c r="A127" s="1"/>
      <c r="B127" s="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</row>
    <row r="128" spans="1:68" ht="15" x14ac:dyDescent="0.3">
      <c r="A128" s="1"/>
      <c r="B128" s="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</row>
    <row r="129" spans="1:68" ht="15" x14ac:dyDescent="0.3">
      <c r="A129" s="1"/>
      <c r="B129" s="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</row>
    <row r="130" spans="1:68" ht="15" x14ac:dyDescent="0.3">
      <c r="A130" s="1"/>
      <c r="B130" s="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</row>
    <row r="131" spans="1:68" ht="15" x14ac:dyDescent="0.3">
      <c r="A131" s="1"/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</row>
    <row r="132" spans="1:68" ht="15" x14ac:dyDescent="0.3">
      <c r="A132" s="1"/>
      <c r="B132" s="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</row>
    <row r="133" spans="1:68" ht="15" x14ac:dyDescent="0.3">
      <c r="A133" s="1"/>
      <c r="B133" s="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</row>
    <row r="134" spans="1:68" ht="15" x14ac:dyDescent="0.3">
      <c r="A134" s="1"/>
      <c r="B134" s="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</row>
    <row r="135" spans="1:68" ht="15" x14ac:dyDescent="0.3">
      <c r="A135" s="1"/>
      <c r="B135" s="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</row>
    <row r="136" spans="1:68" ht="15" x14ac:dyDescent="0.3">
      <c r="A136" s="1"/>
      <c r="B136" s="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</row>
    <row r="137" spans="1:68" ht="15" x14ac:dyDescent="0.3">
      <c r="A137" s="1"/>
      <c r="B137" s="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</row>
    <row r="138" spans="1:68" ht="15" x14ac:dyDescent="0.3">
      <c r="A138" s="1"/>
      <c r="B138" s="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</row>
    <row r="139" spans="1:68" ht="15" x14ac:dyDescent="0.3">
      <c r="A139" s="1"/>
      <c r="B139" s="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</row>
    <row r="140" spans="1:68" ht="15" x14ac:dyDescent="0.3">
      <c r="A140" s="1"/>
      <c r="B140" s="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</row>
    <row r="141" spans="1:68" ht="15" x14ac:dyDescent="0.3">
      <c r="A141" s="1"/>
      <c r="B141" s="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</row>
    <row r="142" spans="1:68" ht="15" x14ac:dyDescent="0.3">
      <c r="A142" s="1"/>
      <c r="B142" s="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</row>
    <row r="143" spans="1:68" ht="15" x14ac:dyDescent="0.3">
      <c r="A143" s="1"/>
      <c r="B143" s="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</row>
    <row r="144" spans="1:68" ht="15" x14ac:dyDescent="0.3">
      <c r="A144" s="1"/>
      <c r="B144" s="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</row>
    <row r="145" spans="1:68" ht="15" x14ac:dyDescent="0.3">
      <c r="A145" s="1"/>
      <c r="B145" s="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</row>
    <row r="146" spans="1:68" ht="15" x14ac:dyDescent="0.3">
      <c r="A146" s="1"/>
      <c r="B146" s="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</row>
    <row r="147" spans="1:68" ht="15" x14ac:dyDescent="0.3">
      <c r="A147" s="1"/>
      <c r="B147" s="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</row>
    <row r="148" spans="1:68" ht="15" x14ac:dyDescent="0.3">
      <c r="A148" s="1"/>
      <c r="B148" s="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</row>
    <row r="149" spans="1:68" ht="15" x14ac:dyDescent="0.3">
      <c r="A149" s="1"/>
      <c r="B149" s="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</row>
    <row r="150" spans="1:68" ht="15" x14ac:dyDescent="0.3">
      <c r="A150" s="1"/>
      <c r="B150" s="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</row>
    <row r="151" spans="1:68" ht="15" x14ac:dyDescent="0.3">
      <c r="A151" s="1"/>
      <c r="B151" s="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</row>
    <row r="152" spans="1:68" ht="15" x14ac:dyDescent="0.3">
      <c r="A152" s="1"/>
      <c r="B152" s="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</row>
    <row r="153" spans="1:68" ht="15" x14ac:dyDescent="0.3">
      <c r="A153" s="1"/>
      <c r="B153" s="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</row>
    <row r="154" spans="1:68" ht="15" x14ac:dyDescent="0.3">
      <c r="A154" s="1"/>
      <c r="B154" s="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</row>
    <row r="155" spans="1:68" ht="15" x14ac:dyDescent="0.3">
      <c r="A155" s="1"/>
      <c r="B155" s="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</row>
    <row r="156" spans="1:68" ht="15" x14ac:dyDescent="0.3">
      <c r="A156" s="1"/>
      <c r="B156" s="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</row>
    <row r="157" spans="1:68" ht="15" x14ac:dyDescent="0.3">
      <c r="A157" s="1"/>
      <c r="B157" s="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</row>
    <row r="158" spans="1:68" ht="15" x14ac:dyDescent="0.3">
      <c r="A158" s="1"/>
      <c r="B158" s="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</row>
    <row r="159" spans="1:68" ht="15" x14ac:dyDescent="0.3">
      <c r="A159" s="1"/>
      <c r="B159" s="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</row>
    <row r="160" spans="1:68" ht="15" x14ac:dyDescent="0.3">
      <c r="A160" s="1"/>
      <c r="B160" s="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</row>
    <row r="161" spans="1:68" ht="15" x14ac:dyDescent="0.3">
      <c r="A161" s="1"/>
      <c r="B161" s="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</row>
    <row r="162" spans="1:68" ht="15" x14ac:dyDescent="0.3">
      <c r="A162" s="1"/>
      <c r="B162" s="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</row>
    <row r="163" spans="1:68" ht="15" x14ac:dyDescent="0.3">
      <c r="A163" s="1"/>
      <c r="B163" s="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</row>
    <row r="164" spans="1:68" ht="15" x14ac:dyDescent="0.3">
      <c r="A164" s="1"/>
      <c r="B164" s="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</row>
    <row r="165" spans="1:68" ht="15" x14ac:dyDescent="0.3">
      <c r="A165" s="1"/>
      <c r="B165" s="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</row>
    <row r="166" spans="1:68" ht="15" x14ac:dyDescent="0.3">
      <c r="A166" s="1"/>
      <c r="B166" s="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</row>
    <row r="167" spans="1:68" ht="15" x14ac:dyDescent="0.3">
      <c r="A167" s="1"/>
      <c r="B167" s="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</row>
    <row r="168" spans="1:68" ht="15" x14ac:dyDescent="0.3">
      <c r="A168" s="1"/>
      <c r="B168" s="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</row>
    <row r="169" spans="1:68" ht="15" x14ac:dyDescent="0.3">
      <c r="A169" s="1"/>
      <c r="B169" s="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</row>
    <row r="170" spans="1:68" ht="15" x14ac:dyDescent="0.3">
      <c r="A170" s="1"/>
      <c r="B170" s="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</row>
    <row r="171" spans="1:68" ht="15" x14ac:dyDescent="0.3">
      <c r="A171" s="1"/>
      <c r="B171" s="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</row>
    <row r="172" spans="1:68" ht="15" x14ac:dyDescent="0.3">
      <c r="A172" s="1"/>
      <c r="B172" s="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</row>
    <row r="173" spans="1:68" ht="15" x14ac:dyDescent="0.3">
      <c r="A173" s="1"/>
      <c r="B173" s="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</row>
    <row r="174" spans="1:68" ht="15" x14ac:dyDescent="0.3">
      <c r="A174" s="1"/>
      <c r="B174" s="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</row>
    <row r="175" spans="1:68" ht="15" x14ac:dyDescent="0.3">
      <c r="A175" s="1"/>
      <c r="B175" s="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</row>
    <row r="176" spans="1:68" ht="15" x14ac:dyDescent="0.3">
      <c r="A176" s="1"/>
      <c r="B176" s="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</row>
    <row r="177" spans="1:68" ht="15" x14ac:dyDescent="0.3">
      <c r="A177" s="1"/>
      <c r="B177" s="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</row>
    <row r="178" spans="1:68" ht="15" x14ac:dyDescent="0.3">
      <c r="A178" s="1"/>
      <c r="B178" s="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</row>
    <row r="179" spans="1:68" ht="15" x14ac:dyDescent="0.3">
      <c r="A179" s="1"/>
      <c r="B179" s="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</row>
    <row r="180" spans="1:68" ht="15" x14ac:dyDescent="0.3">
      <c r="A180" s="1"/>
      <c r="B180" s="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</row>
    <row r="181" spans="1:68" ht="15" x14ac:dyDescent="0.3">
      <c r="A181" s="1"/>
      <c r="B181" s="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</row>
    <row r="182" spans="1:68" ht="15" x14ac:dyDescent="0.3">
      <c r="A182" s="1"/>
      <c r="B182" s="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</row>
    <row r="183" spans="1:68" ht="15" x14ac:dyDescent="0.3">
      <c r="A183" s="1"/>
      <c r="B183" s="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</row>
    <row r="184" spans="1:68" ht="15" x14ac:dyDescent="0.3">
      <c r="A184" s="1"/>
      <c r="B184" s="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</row>
    <row r="185" spans="1:68" ht="15" x14ac:dyDescent="0.3">
      <c r="A185" s="1"/>
      <c r="B185" s="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</row>
    <row r="186" spans="1:68" ht="15" x14ac:dyDescent="0.3">
      <c r="A186" s="1"/>
      <c r="B186" s="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</row>
    <row r="187" spans="1:68" ht="15" x14ac:dyDescent="0.3">
      <c r="A187" s="1"/>
      <c r="B187" s="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</row>
    <row r="188" spans="1:68" ht="15" x14ac:dyDescent="0.3">
      <c r="A188" s="1"/>
      <c r="B188" s="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68" ht="15" x14ac:dyDescent="0.3">
      <c r="A189" s="1"/>
      <c r="B189" s="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</row>
    <row r="190" spans="1:68" ht="15" x14ac:dyDescent="0.3">
      <c r="A190" s="1"/>
      <c r="B190" s="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spans="1:68" ht="15" x14ac:dyDescent="0.3">
      <c r="A191" s="1"/>
      <c r="B191" s="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</row>
    <row r="192" spans="1:68" ht="15" x14ac:dyDescent="0.3">
      <c r="A192" s="1"/>
      <c r="B192" s="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</row>
    <row r="193" spans="1:68" ht="15" x14ac:dyDescent="0.3">
      <c r="A193" s="1"/>
      <c r="B193" s="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</row>
    <row r="194" spans="1:68" ht="15" x14ac:dyDescent="0.3">
      <c r="A194" s="1"/>
      <c r="B194" s="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</row>
    <row r="195" spans="1:68" ht="15" x14ac:dyDescent="0.3">
      <c r="A195" s="1"/>
      <c r="B195" s="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</row>
    <row r="196" spans="1:68" ht="15" x14ac:dyDescent="0.3">
      <c r="A196" s="1"/>
      <c r="B196" s="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</row>
    <row r="197" spans="1:68" ht="15" x14ac:dyDescent="0.3">
      <c r="A197" s="1"/>
      <c r="B197" s="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</row>
    <row r="198" spans="1:68" ht="15" x14ac:dyDescent="0.3">
      <c r="A198" s="1"/>
      <c r="B198" s="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</row>
    <row r="199" spans="1:68" ht="15" x14ac:dyDescent="0.3">
      <c r="A199" s="1"/>
      <c r="B199" s="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</row>
    <row r="200" spans="1:68" ht="15" x14ac:dyDescent="0.3">
      <c r="A200" s="1"/>
      <c r="B200" s="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</row>
    <row r="201" spans="1:68" ht="15" x14ac:dyDescent="0.3">
      <c r="A201" s="1"/>
      <c r="B201" s="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</row>
    <row r="202" spans="1:68" ht="15" x14ac:dyDescent="0.3">
      <c r="A202" s="1"/>
      <c r="B202" s="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</row>
    <row r="203" spans="1:68" ht="15" x14ac:dyDescent="0.3">
      <c r="A203" s="1"/>
      <c r="B203" s="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</row>
    <row r="204" spans="1:68" ht="15" x14ac:dyDescent="0.3">
      <c r="A204" s="1"/>
      <c r="B204" s="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</row>
    <row r="205" spans="1:68" ht="15" x14ac:dyDescent="0.3">
      <c r="A205" s="1"/>
      <c r="B205" s="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</row>
    <row r="206" spans="1:68" ht="15" x14ac:dyDescent="0.3">
      <c r="A206" s="1"/>
      <c r="B206" s="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</row>
    <row r="207" spans="1:68" ht="15" x14ac:dyDescent="0.3">
      <c r="A207" s="1"/>
      <c r="B207" s="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</row>
    <row r="208" spans="1:68" ht="15" x14ac:dyDescent="0.3">
      <c r="A208" s="1"/>
      <c r="B208" s="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</row>
    <row r="209" spans="1:68" ht="15" x14ac:dyDescent="0.3">
      <c r="A209" s="1"/>
      <c r="B209" s="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</row>
    <row r="210" spans="1:68" ht="15" x14ac:dyDescent="0.3">
      <c r="A210" s="1"/>
      <c r="B210" s="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</row>
    <row r="211" spans="1:68" ht="15" x14ac:dyDescent="0.3">
      <c r="A211" s="1"/>
      <c r="B211" s="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</row>
    <row r="212" spans="1:68" ht="15" x14ac:dyDescent="0.3">
      <c r="A212" s="1"/>
      <c r="B212" s="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</row>
    <row r="213" spans="1:68" ht="15" x14ac:dyDescent="0.3">
      <c r="A213" s="1"/>
      <c r="B213" s="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</row>
    <row r="214" spans="1:68" ht="15" x14ac:dyDescent="0.3">
      <c r="A214" s="1"/>
      <c r="B214" s="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</row>
    <row r="215" spans="1:68" ht="15" x14ac:dyDescent="0.3">
      <c r="A215" s="1"/>
      <c r="B215" s="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</row>
    <row r="216" spans="1:68" ht="15" x14ac:dyDescent="0.3">
      <c r="A216" s="1"/>
      <c r="B216" s="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</row>
    <row r="217" spans="1:68" ht="15" x14ac:dyDescent="0.3">
      <c r="A217" s="1"/>
      <c r="B217" s="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</row>
    <row r="218" spans="1:68" ht="15" x14ac:dyDescent="0.3">
      <c r="A218" s="1"/>
      <c r="B218" s="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</row>
    <row r="219" spans="1:68" ht="15" x14ac:dyDescent="0.3">
      <c r="A219" s="1"/>
      <c r="B219" s="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</row>
    <row r="220" spans="1:68" ht="15" x14ac:dyDescent="0.3">
      <c r="A220" s="1"/>
      <c r="B220" s="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</row>
    <row r="221" spans="1:68" ht="15" x14ac:dyDescent="0.3">
      <c r="A221" s="1"/>
      <c r="B221" s="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</row>
    <row r="222" spans="1:68" ht="15" x14ac:dyDescent="0.3">
      <c r="A222" s="1"/>
      <c r="B222" s="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</row>
    <row r="223" spans="1:68" ht="15" x14ac:dyDescent="0.3">
      <c r="A223" s="1"/>
      <c r="B223" s="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</row>
    <row r="224" spans="1:68" ht="15" x14ac:dyDescent="0.3">
      <c r="A224" s="1"/>
      <c r="B224" s="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68" ht="15" x14ac:dyDescent="0.3">
      <c r="A225" s="1"/>
      <c r="B225" s="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</row>
    <row r="226" spans="1:68" ht="15" x14ac:dyDescent="0.3">
      <c r="A226" s="1"/>
      <c r="B226" s="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spans="1:68" ht="15" x14ac:dyDescent="0.3">
      <c r="A227" s="1"/>
      <c r="B227" s="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</row>
    <row r="228" spans="1:68" ht="15" x14ac:dyDescent="0.3">
      <c r="A228" s="1"/>
      <c r="B228" s="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</row>
    <row r="229" spans="1:68" ht="15" x14ac:dyDescent="0.3">
      <c r="A229" s="1"/>
      <c r="B229" s="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</row>
    <row r="230" spans="1:68" ht="15" x14ac:dyDescent="0.3">
      <c r="A230" s="1"/>
      <c r="B230" s="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</row>
    <row r="231" spans="1:68" ht="15" x14ac:dyDescent="0.3">
      <c r="A231" s="1"/>
      <c r="B231" s="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</row>
    <row r="232" spans="1:68" ht="15" x14ac:dyDescent="0.3">
      <c r="A232" s="1"/>
      <c r="B232" s="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</row>
    <row r="233" spans="1:68" ht="15" x14ac:dyDescent="0.3">
      <c r="A233" s="1"/>
      <c r="B233" s="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</row>
    <row r="234" spans="1:68" ht="15" x14ac:dyDescent="0.3">
      <c r="A234" s="1"/>
      <c r="B234" s="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</row>
    <row r="235" spans="1:68" ht="15" x14ac:dyDescent="0.3">
      <c r="A235" s="1"/>
      <c r="B235" s="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</row>
    <row r="236" spans="1:68" ht="15" x14ac:dyDescent="0.3">
      <c r="A236" s="1"/>
      <c r="B236" s="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</row>
    <row r="237" spans="1:68" ht="15" x14ac:dyDescent="0.3">
      <c r="A237" s="1"/>
      <c r="B237" s="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</row>
    <row r="238" spans="1:68" ht="15" x14ac:dyDescent="0.3">
      <c r="A238" s="1"/>
      <c r="B238" s="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</row>
    <row r="239" spans="1:68" ht="15" x14ac:dyDescent="0.3">
      <c r="A239" s="1"/>
      <c r="B239" s="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</row>
    <row r="240" spans="1:68" ht="15" x14ac:dyDescent="0.3">
      <c r="A240" s="1"/>
      <c r="B240" s="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</row>
    <row r="241" spans="1:68" ht="15" x14ac:dyDescent="0.3">
      <c r="A241" s="1"/>
      <c r="B241" s="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</row>
    <row r="242" spans="1:68" ht="15" x14ac:dyDescent="0.3">
      <c r="A242" s="1"/>
      <c r="B242" s="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</row>
    <row r="243" spans="1:68" ht="15" x14ac:dyDescent="0.3">
      <c r="A243" s="1"/>
      <c r="B243" s="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</row>
    <row r="244" spans="1:68" ht="15" x14ac:dyDescent="0.3">
      <c r="A244" s="1"/>
      <c r="B244" s="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</row>
    <row r="245" spans="1:68" ht="15" x14ac:dyDescent="0.3">
      <c r="A245" s="1"/>
      <c r="B245" s="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</row>
    <row r="246" spans="1:68" ht="15" x14ac:dyDescent="0.3">
      <c r="A246" s="1"/>
      <c r="B246" s="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</row>
    <row r="247" spans="1:68" ht="15" x14ac:dyDescent="0.3">
      <c r="A247" s="1"/>
      <c r="B247" s="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</row>
    <row r="248" spans="1:68" ht="15" x14ac:dyDescent="0.3">
      <c r="A248" s="1"/>
      <c r="B248" s="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</row>
    <row r="249" spans="1:68" ht="15" x14ac:dyDescent="0.3">
      <c r="A249" s="1"/>
      <c r="B249" s="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</row>
    <row r="250" spans="1:68" ht="15" x14ac:dyDescent="0.3">
      <c r="A250" s="1"/>
      <c r="B250" s="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</row>
    <row r="251" spans="1:68" ht="15" x14ac:dyDescent="0.3">
      <c r="A251" s="1"/>
      <c r="B251" s="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</row>
    <row r="252" spans="1:68" ht="15" x14ac:dyDescent="0.3">
      <c r="A252" s="1"/>
      <c r="B252" s="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</row>
    <row r="253" spans="1:68" ht="15" x14ac:dyDescent="0.3">
      <c r="A253" s="1"/>
      <c r="B253" s="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</row>
    <row r="254" spans="1:68" ht="15" x14ac:dyDescent="0.3">
      <c r="A254" s="1"/>
      <c r="B254" s="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</row>
    <row r="255" spans="1:68" ht="15" x14ac:dyDescent="0.3">
      <c r="A255" s="1"/>
      <c r="B255" s="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</row>
    <row r="256" spans="1:68" ht="15" x14ac:dyDescent="0.3">
      <c r="A256" s="1"/>
      <c r="B256" s="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</row>
    <row r="257" spans="1:68" ht="15" x14ac:dyDescent="0.3">
      <c r="A257" s="1"/>
      <c r="B257" s="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</row>
    <row r="258" spans="1:68" ht="15" x14ac:dyDescent="0.3">
      <c r="A258" s="1"/>
      <c r="B258" s="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</row>
    <row r="259" spans="1:68" ht="15" x14ac:dyDescent="0.3">
      <c r="A259" s="1"/>
      <c r="B259" s="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</row>
    <row r="260" spans="1:68" ht="15" x14ac:dyDescent="0.3">
      <c r="A260" s="1"/>
      <c r="B260" s="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</row>
    <row r="261" spans="1:68" ht="15" x14ac:dyDescent="0.3">
      <c r="A261" s="1"/>
      <c r="B261" s="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</row>
    <row r="262" spans="1:68" ht="15" x14ac:dyDescent="0.3">
      <c r="A262" s="1"/>
      <c r="B262" s="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</row>
    <row r="263" spans="1:68" ht="15" x14ac:dyDescent="0.3">
      <c r="A263" s="1"/>
      <c r="B263" s="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</row>
    <row r="264" spans="1:68" ht="15" x14ac:dyDescent="0.3">
      <c r="A264" s="1"/>
      <c r="B264" s="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</row>
    <row r="265" spans="1:68" ht="15" x14ac:dyDescent="0.3">
      <c r="A265" s="1"/>
      <c r="B265" s="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</row>
    <row r="266" spans="1:68" ht="15" x14ac:dyDescent="0.3">
      <c r="A266" s="1"/>
      <c r="B266" s="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</row>
    <row r="267" spans="1:68" ht="15" x14ac:dyDescent="0.3">
      <c r="A267" s="1"/>
      <c r="B267" s="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</row>
    <row r="268" spans="1:68" ht="15" x14ac:dyDescent="0.3">
      <c r="A268" s="1"/>
      <c r="B268" s="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</row>
    <row r="269" spans="1:68" ht="15" x14ac:dyDescent="0.3">
      <c r="A269" s="1"/>
      <c r="B269" s="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</row>
    <row r="270" spans="1:68" ht="15" x14ac:dyDescent="0.3">
      <c r="A270" s="1"/>
      <c r="B270" s="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</row>
    <row r="271" spans="1:68" ht="15" x14ac:dyDescent="0.3">
      <c r="A271" s="1"/>
      <c r="B271" s="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</row>
    <row r="272" spans="1:68" ht="15" x14ac:dyDescent="0.3">
      <c r="A272" s="1"/>
      <c r="B272" s="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</row>
    <row r="273" spans="1:68" ht="15" x14ac:dyDescent="0.3">
      <c r="A273" s="1"/>
      <c r="B273" s="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</row>
    <row r="274" spans="1:68" ht="15" x14ac:dyDescent="0.3">
      <c r="A274" s="1"/>
      <c r="B274" s="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</row>
    <row r="275" spans="1:68" ht="15" x14ac:dyDescent="0.3">
      <c r="A275" s="1"/>
      <c r="B275" s="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</row>
    <row r="276" spans="1:68" ht="15" x14ac:dyDescent="0.3">
      <c r="A276" s="1"/>
      <c r="B276" s="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</row>
    <row r="277" spans="1:68" ht="15" x14ac:dyDescent="0.3">
      <c r="A277" s="1"/>
      <c r="B277" s="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</row>
    <row r="278" spans="1:68" ht="15" x14ac:dyDescent="0.3">
      <c r="A278" s="1"/>
      <c r="B278" s="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</row>
    <row r="279" spans="1:68" ht="15" x14ac:dyDescent="0.3">
      <c r="A279" s="1"/>
      <c r="B279" s="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</row>
    <row r="280" spans="1:68" ht="15" x14ac:dyDescent="0.3">
      <c r="A280" s="1"/>
      <c r="B280" s="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</row>
    <row r="281" spans="1:68" ht="15" x14ac:dyDescent="0.3">
      <c r="A281" s="1"/>
      <c r="B281" s="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</row>
    <row r="282" spans="1:68" ht="15" x14ac:dyDescent="0.3">
      <c r="A282" s="1"/>
      <c r="B282" s="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</row>
    <row r="283" spans="1:68" ht="15" x14ac:dyDescent="0.3">
      <c r="A283" s="1"/>
      <c r="B283" s="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</row>
    <row r="284" spans="1:68" ht="15" x14ac:dyDescent="0.3">
      <c r="A284" s="1"/>
      <c r="B284" s="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</row>
    <row r="285" spans="1:68" ht="15" x14ac:dyDescent="0.3">
      <c r="A285" s="1"/>
      <c r="B285" s="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</row>
    <row r="286" spans="1:68" ht="15" x14ac:dyDescent="0.3">
      <c r="A286" s="1"/>
      <c r="B286" s="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</row>
    <row r="287" spans="1:68" ht="15" x14ac:dyDescent="0.3">
      <c r="A287" s="1"/>
      <c r="B287" s="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</row>
    <row r="288" spans="1:68" ht="15" x14ac:dyDescent="0.3">
      <c r="A288" s="1"/>
      <c r="B288" s="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</row>
    <row r="289" spans="1:68" ht="15" x14ac:dyDescent="0.3">
      <c r="A289" s="1"/>
      <c r="B289" s="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</row>
    <row r="290" spans="1:68" ht="15" x14ac:dyDescent="0.3">
      <c r="A290" s="1"/>
      <c r="B290" s="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</row>
    <row r="291" spans="1:68" ht="15" x14ac:dyDescent="0.3">
      <c r="A291" s="1"/>
      <c r="B291" s="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</row>
    <row r="292" spans="1:68" ht="15" x14ac:dyDescent="0.3">
      <c r="A292" s="1"/>
      <c r="B292" s="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</row>
    <row r="293" spans="1:68" ht="15" x14ac:dyDescent="0.3">
      <c r="A293" s="1"/>
      <c r="B293" s="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</row>
    <row r="294" spans="1:68" ht="15" x14ac:dyDescent="0.3">
      <c r="A294" s="1"/>
      <c r="B294" s="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</row>
    <row r="295" spans="1:68" ht="15" x14ac:dyDescent="0.3">
      <c r="A295" s="1"/>
      <c r="B295" s="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</row>
    <row r="296" spans="1:68" ht="15" x14ac:dyDescent="0.3">
      <c r="A296" s="1"/>
      <c r="B296" s="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</row>
    <row r="297" spans="1:68" ht="15" x14ac:dyDescent="0.3">
      <c r="A297" s="1"/>
      <c r="B297" s="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</row>
    <row r="298" spans="1:68" ht="15" x14ac:dyDescent="0.3">
      <c r="A298" s="1"/>
      <c r="B298" s="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</row>
    <row r="299" spans="1:68" ht="15" x14ac:dyDescent="0.3">
      <c r="A299" s="1"/>
      <c r="B299" s="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</row>
    <row r="300" spans="1:68" ht="15" x14ac:dyDescent="0.3">
      <c r="A300" s="1"/>
      <c r="B300" s="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</row>
    <row r="301" spans="1:68" ht="15" x14ac:dyDescent="0.3">
      <c r="A301" s="1"/>
      <c r="B301" s="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</row>
    <row r="302" spans="1:68" ht="15" x14ac:dyDescent="0.3">
      <c r="A302" s="1"/>
      <c r="B302" s="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</row>
    <row r="303" spans="1:68" ht="15" x14ac:dyDescent="0.3">
      <c r="A303" s="1"/>
      <c r="B303" s="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</row>
    <row r="304" spans="1:68" ht="15" x14ac:dyDescent="0.3">
      <c r="A304" s="1"/>
      <c r="B304" s="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</row>
    <row r="305" spans="1:68" ht="15" x14ac:dyDescent="0.3">
      <c r="A305" s="1"/>
      <c r="B305" s="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</row>
    <row r="306" spans="1:68" ht="15" x14ac:dyDescent="0.3">
      <c r="A306" s="1"/>
      <c r="B306" s="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</row>
    <row r="307" spans="1:68" ht="15" x14ac:dyDescent="0.3">
      <c r="A307" s="1"/>
      <c r="B307" s="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</row>
    <row r="308" spans="1:68" ht="15" x14ac:dyDescent="0.3">
      <c r="A308" s="1"/>
      <c r="B308" s="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</row>
    <row r="309" spans="1:68" ht="15" x14ac:dyDescent="0.3">
      <c r="A309" s="1"/>
      <c r="B309" s="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</row>
    <row r="310" spans="1:68" ht="15" x14ac:dyDescent="0.3">
      <c r="A310" s="1"/>
      <c r="B310" s="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</row>
    <row r="311" spans="1:68" ht="15" x14ac:dyDescent="0.3">
      <c r="A311" s="1"/>
      <c r="B311" s="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</row>
    <row r="312" spans="1:68" ht="15" x14ac:dyDescent="0.3">
      <c r="A312" s="1"/>
      <c r="B312" s="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</row>
    <row r="313" spans="1:68" ht="15" x14ac:dyDescent="0.3">
      <c r="A313" s="1"/>
      <c r="B313" s="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</row>
    <row r="314" spans="1:68" ht="15" x14ac:dyDescent="0.3">
      <c r="A314" s="1"/>
      <c r="B314" s="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</row>
    <row r="315" spans="1:68" ht="15" x14ac:dyDescent="0.3">
      <c r="A315" s="1"/>
      <c r="B315" s="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</row>
    <row r="316" spans="1:68" ht="15" x14ac:dyDescent="0.3">
      <c r="A316" s="1"/>
      <c r="B316" s="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</row>
    <row r="317" spans="1:68" ht="15" x14ac:dyDescent="0.3">
      <c r="A317" s="1"/>
      <c r="B317" s="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</row>
    <row r="318" spans="1:68" ht="15" x14ac:dyDescent="0.3">
      <c r="A318" s="1"/>
      <c r="B318" s="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</row>
    <row r="319" spans="1:68" ht="15" x14ac:dyDescent="0.3">
      <c r="A319" s="1"/>
      <c r="B319" s="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</row>
    <row r="320" spans="1:68" ht="15" x14ac:dyDescent="0.3">
      <c r="A320" s="1"/>
      <c r="B320" s="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</row>
    <row r="321" spans="1:68" ht="15" x14ac:dyDescent="0.3">
      <c r="A321" s="1"/>
      <c r="B321" s="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</row>
    <row r="322" spans="1:68" ht="15" x14ac:dyDescent="0.3">
      <c r="A322" s="1"/>
      <c r="B322" s="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</row>
    <row r="323" spans="1:68" ht="15" x14ac:dyDescent="0.3">
      <c r="A323" s="1"/>
      <c r="B323" s="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</row>
    <row r="324" spans="1:68" ht="15" x14ac:dyDescent="0.3">
      <c r="A324" s="1"/>
      <c r="B324" s="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</row>
    <row r="325" spans="1:68" ht="15" x14ac:dyDescent="0.3">
      <c r="A325" s="1"/>
      <c r="B325" s="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</row>
    <row r="326" spans="1:68" ht="15" x14ac:dyDescent="0.3">
      <c r="A326" s="1"/>
      <c r="B326" s="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</row>
    <row r="327" spans="1:68" ht="15" x14ac:dyDescent="0.3">
      <c r="A327" s="1"/>
      <c r="B327" s="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</row>
    <row r="328" spans="1:68" ht="15" x14ac:dyDescent="0.3">
      <c r="A328" s="1"/>
      <c r="B328" s="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</row>
    <row r="329" spans="1:68" ht="15" x14ac:dyDescent="0.3">
      <c r="A329" s="1"/>
      <c r="B329" s="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</row>
    <row r="330" spans="1:68" ht="15" x14ac:dyDescent="0.3">
      <c r="A330" s="1"/>
      <c r="B330" s="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</row>
    <row r="331" spans="1:68" ht="15" x14ac:dyDescent="0.3">
      <c r="A331" s="1"/>
      <c r="B331" s="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</row>
    <row r="332" spans="1:68" ht="15" x14ac:dyDescent="0.3">
      <c r="A332" s="1"/>
      <c r="B332" s="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</row>
    <row r="333" spans="1:68" ht="15" x14ac:dyDescent="0.3">
      <c r="A333" s="1"/>
      <c r="B333" s="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</row>
    <row r="334" spans="1:68" ht="15" x14ac:dyDescent="0.3">
      <c r="A334" s="1"/>
      <c r="B334" s="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</row>
    <row r="335" spans="1:68" ht="15" x14ac:dyDescent="0.3">
      <c r="A335" s="1"/>
      <c r="B335" s="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</row>
    <row r="336" spans="1:68" ht="15" x14ac:dyDescent="0.3">
      <c r="A336" s="1"/>
      <c r="B336" s="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</row>
    <row r="337" spans="1:68" ht="15" x14ac:dyDescent="0.3">
      <c r="A337" s="1"/>
      <c r="B337" s="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</row>
    <row r="338" spans="1:68" ht="15" x14ac:dyDescent="0.3">
      <c r="A338" s="1"/>
      <c r="B338" s="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</row>
    <row r="339" spans="1:68" ht="15" x14ac:dyDescent="0.3">
      <c r="A339" s="1"/>
      <c r="B339" s="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</row>
    <row r="340" spans="1:68" ht="15" x14ac:dyDescent="0.3">
      <c r="A340" s="1"/>
      <c r="B340" s="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</row>
    <row r="341" spans="1:68" ht="15" x14ac:dyDescent="0.3">
      <c r="A341" s="1"/>
      <c r="B341" s="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</row>
    <row r="342" spans="1:68" ht="15" x14ac:dyDescent="0.3">
      <c r="A342" s="1"/>
      <c r="B342" s="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</row>
    <row r="343" spans="1:68" ht="15" x14ac:dyDescent="0.3">
      <c r="A343" s="1"/>
      <c r="B343" s="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</row>
    <row r="344" spans="1:68" ht="15" x14ac:dyDescent="0.3">
      <c r="A344" s="1"/>
      <c r="B344" s="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</row>
    <row r="345" spans="1:68" ht="15" x14ac:dyDescent="0.3">
      <c r="A345" s="1"/>
      <c r="B345" s="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</row>
    <row r="346" spans="1:68" ht="15" x14ac:dyDescent="0.3">
      <c r="A346" s="1"/>
      <c r="B346" s="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</row>
    <row r="347" spans="1:68" ht="15" x14ac:dyDescent="0.3">
      <c r="A347" s="1"/>
      <c r="B347" s="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</row>
    <row r="348" spans="1:68" ht="15" x14ac:dyDescent="0.3">
      <c r="A348" s="1"/>
      <c r="B348" s="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</row>
    <row r="349" spans="1:68" ht="15" x14ac:dyDescent="0.3">
      <c r="A349" s="1"/>
      <c r="B349" s="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</row>
    <row r="350" spans="1:68" ht="15" x14ac:dyDescent="0.3">
      <c r="A350" s="1"/>
      <c r="B350" s="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</row>
    <row r="351" spans="1:68" ht="15" x14ac:dyDescent="0.3">
      <c r="A351" s="1"/>
      <c r="B351" s="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</row>
    <row r="352" spans="1:68" ht="15" x14ac:dyDescent="0.3">
      <c r="A352" s="1"/>
      <c r="B352" s="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</row>
    <row r="353" spans="1:68" ht="15" x14ac:dyDescent="0.3">
      <c r="A353" s="1"/>
      <c r="B353" s="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</row>
    <row r="354" spans="1:68" ht="15" x14ac:dyDescent="0.3">
      <c r="A354" s="1"/>
      <c r="B354" s="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</row>
    <row r="355" spans="1:68" ht="15" x14ac:dyDescent="0.3">
      <c r="A355" s="1"/>
      <c r="B355" s="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</row>
    <row r="356" spans="1:68" ht="15" x14ac:dyDescent="0.3">
      <c r="A356" s="1"/>
      <c r="B356" s="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</row>
    <row r="357" spans="1:68" ht="15" x14ac:dyDescent="0.3">
      <c r="A357" s="1"/>
      <c r="B357" s="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</row>
    <row r="358" spans="1:68" ht="15" x14ac:dyDescent="0.3">
      <c r="A358" s="1"/>
      <c r="B358" s="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</row>
    <row r="359" spans="1:68" ht="15" x14ac:dyDescent="0.3">
      <c r="A359" s="1"/>
      <c r="B359" s="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</row>
    <row r="360" spans="1:68" ht="15" x14ac:dyDescent="0.3">
      <c r="A360" s="1"/>
      <c r="B360" s="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</row>
    <row r="361" spans="1:68" ht="15" x14ac:dyDescent="0.3">
      <c r="A361" s="1"/>
      <c r="B361" s="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</row>
    <row r="362" spans="1:68" ht="15" x14ac:dyDescent="0.3">
      <c r="A362" s="1"/>
      <c r="B362" s="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</row>
    <row r="363" spans="1:68" ht="15" x14ac:dyDescent="0.3">
      <c r="A363" s="1"/>
      <c r="B363" s="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</row>
    <row r="364" spans="1:68" ht="15" x14ac:dyDescent="0.3">
      <c r="A364" s="1"/>
      <c r="B364" s="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</row>
    <row r="365" spans="1:68" ht="15" x14ac:dyDescent="0.3">
      <c r="A365" s="1"/>
      <c r="B365" s="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</row>
    <row r="366" spans="1:68" ht="15" x14ac:dyDescent="0.3">
      <c r="A366" s="1"/>
      <c r="B366" s="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</row>
    <row r="367" spans="1:68" ht="15" x14ac:dyDescent="0.3">
      <c r="A367" s="1"/>
      <c r="B367" s="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</row>
    <row r="368" spans="1:68" ht="15" x14ac:dyDescent="0.3">
      <c r="A368" s="1"/>
      <c r="B368" s="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</row>
    <row r="369" spans="1:68" ht="15" x14ac:dyDescent="0.3">
      <c r="A369" s="1"/>
      <c r="B369" s="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</row>
    <row r="370" spans="1:68" ht="15" x14ac:dyDescent="0.3">
      <c r="A370" s="1"/>
      <c r="B370" s="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</row>
    <row r="371" spans="1:68" ht="15" x14ac:dyDescent="0.3">
      <c r="A371" s="1"/>
      <c r="B371" s="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</row>
    <row r="372" spans="1:68" ht="15" x14ac:dyDescent="0.3">
      <c r="A372" s="1"/>
      <c r="B372" s="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</row>
    <row r="373" spans="1:68" ht="15" x14ac:dyDescent="0.3">
      <c r="A373" s="1"/>
      <c r="B373" s="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</row>
    <row r="374" spans="1:68" ht="15" x14ac:dyDescent="0.3">
      <c r="A374" s="1"/>
      <c r="B374" s="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</row>
    <row r="375" spans="1:68" ht="15" x14ac:dyDescent="0.3">
      <c r="A375" s="1"/>
      <c r="B375" s="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</row>
    <row r="376" spans="1:68" ht="15" x14ac:dyDescent="0.3">
      <c r="A376" s="1"/>
      <c r="B376" s="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</row>
    <row r="377" spans="1:68" ht="15" x14ac:dyDescent="0.3">
      <c r="A377" s="1"/>
      <c r="B377" s="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</row>
    <row r="378" spans="1:68" ht="15" x14ac:dyDescent="0.3">
      <c r="A378" s="1"/>
      <c r="B378" s="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</row>
    <row r="379" spans="1:68" ht="15" x14ac:dyDescent="0.3">
      <c r="A379" s="1"/>
      <c r="B379" s="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</row>
    <row r="380" spans="1:68" ht="15" x14ac:dyDescent="0.3">
      <c r="A380" s="1"/>
      <c r="B380" s="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</row>
    <row r="381" spans="1:68" ht="15" x14ac:dyDescent="0.3">
      <c r="A381" s="1"/>
      <c r="B381" s="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</row>
    <row r="382" spans="1:68" ht="15" x14ac:dyDescent="0.3">
      <c r="A382" s="1"/>
      <c r="B382" s="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</row>
    <row r="383" spans="1:68" ht="15" x14ac:dyDescent="0.3">
      <c r="A383" s="1"/>
      <c r="B383" s="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</row>
    <row r="384" spans="1:68" ht="15" x14ac:dyDescent="0.3">
      <c r="A384" s="1"/>
      <c r="B384" s="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</row>
    <row r="385" spans="1:68" ht="15" x14ac:dyDescent="0.3">
      <c r="A385" s="1"/>
      <c r="B385" s="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</row>
    <row r="386" spans="1:68" ht="15" x14ac:dyDescent="0.3">
      <c r="A386" s="1"/>
      <c r="B386" s="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</row>
    <row r="387" spans="1:68" ht="15" x14ac:dyDescent="0.3">
      <c r="A387" s="1"/>
      <c r="B387" s="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</row>
    <row r="388" spans="1:68" ht="15" x14ac:dyDescent="0.3">
      <c r="A388" s="1"/>
      <c r="B388" s="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</row>
    <row r="389" spans="1:68" ht="15" x14ac:dyDescent="0.3">
      <c r="A389" s="1"/>
      <c r="B389" s="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</row>
    <row r="390" spans="1:68" ht="15" x14ac:dyDescent="0.3">
      <c r="A390" s="1"/>
      <c r="B390" s="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</row>
    <row r="391" spans="1:68" ht="15" x14ac:dyDescent="0.3">
      <c r="A391" s="1"/>
      <c r="B391" s="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</row>
    <row r="392" spans="1:68" ht="15" x14ac:dyDescent="0.3">
      <c r="A392" s="1"/>
      <c r="B392" s="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</row>
    <row r="393" spans="1:68" ht="15" x14ac:dyDescent="0.3">
      <c r="A393" s="1"/>
      <c r="B393" s="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</row>
    <row r="394" spans="1:68" ht="15" x14ac:dyDescent="0.3">
      <c r="A394" s="1"/>
      <c r="B394" s="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</row>
    <row r="395" spans="1:68" ht="15" x14ac:dyDescent="0.3">
      <c r="A395" s="1"/>
      <c r="B395" s="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</row>
    <row r="396" spans="1:68" ht="15" x14ac:dyDescent="0.3">
      <c r="A396" s="1"/>
      <c r="B396" s="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</row>
    <row r="397" spans="1:68" ht="15" x14ac:dyDescent="0.3">
      <c r="A397" s="1"/>
      <c r="B397" s="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</row>
    <row r="398" spans="1:68" ht="15" x14ac:dyDescent="0.3">
      <c r="A398" s="1"/>
      <c r="B398" s="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</row>
    <row r="399" spans="1:68" ht="15" x14ac:dyDescent="0.3">
      <c r="A399" s="1"/>
      <c r="B399" s="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</row>
    <row r="400" spans="1:68" ht="15" x14ac:dyDescent="0.3">
      <c r="A400" s="1"/>
      <c r="B400" s="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</row>
    <row r="401" spans="1:68" ht="15" x14ac:dyDescent="0.3">
      <c r="A401" s="1"/>
      <c r="B401" s="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</row>
    <row r="402" spans="1:68" ht="15" x14ac:dyDescent="0.3">
      <c r="A402" s="1"/>
      <c r="B402" s="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</row>
    <row r="403" spans="1:68" ht="15" x14ac:dyDescent="0.3">
      <c r="A403" s="1"/>
      <c r="B403" s="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</row>
    <row r="404" spans="1:68" ht="15" x14ac:dyDescent="0.3">
      <c r="A404" s="1"/>
      <c r="B404" s="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</row>
    <row r="405" spans="1:68" ht="15" x14ac:dyDescent="0.3">
      <c r="A405" s="1"/>
      <c r="B405" s="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</row>
    <row r="406" spans="1:68" ht="15" x14ac:dyDescent="0.3">
      <c r="A406" s="1"/>
      <c r="B406" s="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</row>
    <row r="407" spans="1:68" ht="15" x14ac:dyDescent="0.3">
      <c r="A407" s="1"/>
      <c r="B407" s="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</row>
    <row r="408" spans="1:68" ht="15" x14ac:dyDescent="0.3">
      <c r="A408" s="1"/>
      <c r="B408" s="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</row>
    <row r="409" spans="1:68" ht="15" x14ac:dyDescent="0.3">
      <c r="A409" s="1"/>
      <c r="B409" s="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</row>
    <row r="410" spans="1:68" ht="15" x14ac:dyDescent="0.3">
      <c r="A410" s="1"/>
      <c r="B410" s="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</row>
    <row r="411" spans="1:68" ht="15" x14ac:dyDescent="0.3">
      <c r="A411" s="1"/>
      <c r="B411" s="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</row>
    <row r="412" spans="1:68" ht="15" x14ac:dyDescent="0.3">
      <c r="A412" s="1"/>
      <c r="B412" s="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</row>
    <row r="413" spans="1:68" ht="15" x14ac:dyDescent="0.3">
      <c r="A413" s="1"/>
      <c r="B413" s="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</row>
    <row r="414" spans="1:68" ht="15" x14ac:dyDescent="0.3">
      <c r="A414" s="1"/>
      <c r="B414" s="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</row>
    <row r="415" spans="1:68" ht="15" x14ac:dyDescent="0.3">
      <c r="A415" s="1"/>
      <c r="B415" s="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</row>
    <row r="416" spans="1:68" ht="15" x14ac:dyDescent="0.3">
      <c r="A416" s="1"/>
      <c r="B416" s="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</row>
    <row r="417" spans="1:68" ht="15" x14ac:dyDescent="0.3">
      <c r="A417" s="1"/>
      <c r="B417" s="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</row>
    <row r="418" spans="1:68" ht="15" x14ac:dyDescent="0.3">
      <c r="A418" s="1"/>
      <c r="B418" s="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</row>
    <row r="419" spans="1:68" ht="15" x14ac:dyDescent="0.3">
      <c r="A419" s="1"/>
      <c r="B419" s="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</row>
    <row r="420" spans="1:68" ht="15" x14ac:dyDescent="0.3">
      <c r="A420" s="1"/>
      <c r="B420" s="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</row>
    <row r="421" spans="1:68" ht="15" x14ac:dyDescent="0.3">
      <c r="A421" s="1"/>
      <c r="B421" s="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</row>
    <row r="422" spans="1:68" ht="15" x14ac:dyDescent="0.3">
      <c r="A422" s="1"/>
      <c r="B422" s="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</row>
    <row r="423" spans="1:68" ht="15" x14ac:dyDescent="0.3">
      <c r="A423" s="1"/>
      <c r="B423" s="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</row>
    <row r="424" spans="1:68" ht="15" x14ac:dyDescent="0.3">
      <c r="A424" s="1"/>
      <c r="B424" s="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</row>
    <row r="425" spans="1:68" ht="15" x14ac:dyDescent="0.3">
      <c r="A425" s="1"/>
      <c r="B425" s="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</row>
    <row r="426" spans="1:68" ht="15" x14ac:dyDescent="0.3">
      <c r="A426" s="1"/>
      <c r="B426" s="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</row>
    <row r="427" spans="1:68" ht="15" x14ac:dyDescent="0.3">
      <c r="A427" s="1"/>
      <c r="B427" s="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</row>
    <row r="428" spans="1:68" ht="15" x14ac:dyDescent="0.3">
      <c r="A428" s="1"/>
      <c r="B428" s="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</row>
    <row r="429" spans="1:68" ht="15" x14ac:dyDescent="0.3">
      <c r="A429" s="1"/>
      <c r="B429" s="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</row>
    <row r="430" spans="1:68" ht="15" x14ac:dyDescent="0.3">
      <c r="A430" s="1"/>
      <c r="B430" s="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</row>
    <row r="431" spans="1:68" ht="15" x14ac:dyDescent="0.3">
      <c r="A431" s="1"/>
      <c r="B431" s="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</row>
    <row r="432" spans="1:68" ht="15" x14ac:dyDescent="0.3">
      <c r="A432" s="1"/>
      <c r="B432" s="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</row>
    <row r="433" spans="1:68" ht="15" x14ac:dyDescent="0.3">
      <c r="A433" s="1"/>
      <c r="B433" s="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</row>
    <row r="434" spans="1:68" ht="15" x14ac:dyDescent="0.3">
      <c r="A434" s="1"/>
      <c r="B434" s="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</row>
    <row r="435" spans="1:68" ht="15" x14ac:dyDescent="0.3">
      <c r="A435" s="1"/>
      <c r="B435" s="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</row>
    <row r="436" spans="1:68" ht="15" x14ac:dyDescent="0.3">
      <c r="A436" s="1"/>
      <c r="B436" s="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</row>
    <row r="437" spans="1:68" ht="15" x14ac:dyDescent="0.3">
      <c r="A437" s="1"/>
      <c r="B437" s="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</row>
    <row r="438" spans="1:68" ht="15" x14ac:dyDescent="0.3">
      <c r="A438" s="1"/>
      <c r="B438" s="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</row>
    <row r="439" spans="1:68" ht="15" x14ac:dyDescent="0.3">
      <c r="A439" s="1"/>
      <c r="B439" s="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</row>
    <row r="440" spans="1:68" ht="15" x14ac:dyDescent="0.3">
      <c r="A440" s="1"/>
      <c r="B440" s="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</row>
    <row r="441" spans="1:68" ht="15" x14ac:dyDescent="0.3">
      <c r="A441" s="1"/>
      <c r="B441" s="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</row>
    <row r="442" spans="1:68" ht="15" x14ac:dyDescent="0.3">
      <c r="A442" s="1"/>
      <c r="B442" s="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</row>
    <row r="443" spans="1:68" ht="15" x14ac:dyDescent="0.3">
      <c r="A443" s="1"/>
      <c r="B443" s="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</row>
    <row r="444" spans="1:68" ht="15" x14ac:dyDescent="0.3">
      <c r="A444" s="1"/>
      <c r="B444" s="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</row>
    <row r="445" spans="1:68" ht="15" x14ac:dyDescent="0.3">
      <c r="A445" s="1"/>
      <c r="B445" s="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</row>
    <row r="446" spans="1:68" ht="15" x14ac:dyDescent="0.3">
      <c r="A446" s="1"/>
      <c r="B446" s="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</row>
    <row r="447" spans="1:68" ht="15" x14ac:dyDescent="0.3">
      <c r="A447" s="1"/>
      <c r="B447" s="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</row>
    <row r="448" spans="1:68" ht="15" x14ac:dyDescent="0.3">
      <c r="A448" s="1"/>
      <c r="B448" s="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</row>
    <row r="449" spans="1:68" ht="15" x14ac:dyDescent="0.3">
      <c r="A449" s="1"/>
      <c r="B449" s="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</row>
    <row r="450" spans="1:68" ht="15" x14ac:dyDescent="0.3">
      <c r="A450" s="1"/>
      <c r="B450" s="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</row>
    <row r="451" spans="1:68" ht="15" x14ac:dyDescent="0.3">
      <c r="A451" s="1"/>
      <c r="B451" s="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</row>
    <row r="452" spans="1:68" ht="15" x14ac:dyDescent="0.3">
      <c r="A452" s="1"/>
      <c r="B452" s="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</row>
    <row r="453" spans="1:68" ht="15" x14ac:dyDescent="0.3">
      <c r="A453" s="1"/>
      <c r="B453" s="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</row>
    <row r="454" spans="1:68" ht="15" x14ac:dyDescent="0.3">
      <c r="A454" s="1"/>
      <c r="B454" s="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</row>
    <row r="455" spans="1:68" ht="15" x14ac:dyDescent="0.3">
      <c r="A455" s="1"/>
      <c r="B455" s="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</row>
    <row r="456" spans="1:68" ht="15" x14ac:dyDescent="0.3">
      <c r="A456" s="1"/>
      <c r="B456" s="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</row>
    <row r="457" spans="1:68" ht="15" x14ac:dyDescent="0.3">
      <c r="A457" s="1"/>
      <c r="B457" s="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</row>
    <row r="458" spans="1:68" ht="15" x14ac:dyDescent="0.3">
      <c r="A458" s="1"/>
      <c r="B458" s="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</row>
    <row r="459" spans="1:68" ht="15" x14ac:dyDescent="0.3">
      <c r="A459" s="1"/>
      <c r="B459" s="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</row>
    <row r="460" spans="1:68" ht="15" x14ac:dyDescent="0.3">
      <c r="A460" s="1"/>
      <c r="B460" s="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</row>
    <row r="461" spans="1:68" ht="15" x14ac:dyDescent="0.3">
      <c r="A461" s="1"/>
      <c r="B461" s="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</row>
    <row r="462" spans="1:68" ht="15" x14ac:dyDescent="0.3">
      <c r="A462" s="1"/>
      <c r="B462" s="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</row>
    <row r="463" spans="1:68" ht="15" x14ac:dyDescent="0.3">
      <c r="A463" s="1"/>
      <c r="B463" s="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</row>
    <row r="464" spans="1:68" ht="15" x14ac:dyDescent="0.3">
      <c r="A464" s="1"/>
      <c r="B464" s="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</row>
    <row r="465" spans="1:68" ht="15" x14ac:dyDescent="0.3">
      <c r="A465" s="1"/>
      <c r="B465" s="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</row>
    <row r="466" spans="1:68" ht="15" x14ac:dyDescent="0.3">
      <c r="A466" s="1"/>
      <c r="B466" s="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</row>
    <row r="467" spans="1:68" ht="15" x14ac:dyDescent="0.3">
      <c r="A467" s="1"/>
      <c r="B467" s="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</row>
    <row r="468" spans="1:68" ht="15" x14ac:dyDescent="0.3">
      <c r="A468" s="1"/>
      <c r="B468" s="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</row>
    <row r="469" spans="1:68" ht="15" x14ac:dyDescent="0.3">
      <c r="A469" s="1"/>
      <c r="B469" s="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</row>
    <row r="470" spans="1:68" ht="15" x14ac:dyDescent="0.3">
      <c r="A470" s="1"/>
      <c r="B470" s="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</row>
    <row r="471" spans="1:68" ht="15" x14ac:dyDescent="0.3">
      <c r="A471" s="1"/>
      <c r="B471" s="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</row>
    <row r="472" spans="1:68" ht="15" x14ac:dyDescent="0.3">
      <c r="A472" s="1"/>
      <c r="B472" s="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</row>
    <row r="473" spans="1:68" ht="15" x14ac:dyDescent="0.3">
      <c r="A473" s="1"/>
      <c r="B473" s="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</row>
    <row r="474" spans="1:68" ht="15" x14ac:dyDescent="0.3">
      <c r="A474" s="1"/>
      <c r="B474" s="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</row>
    <row r="475" spans="1:68" ht="15" x14ac:dyDescent="0.3">
      <c r="A475" s="1"/>
      <c r="B475" s="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</row>
    <row r="476" spans="1:68" ht="15" x14ac:dyDescent="0.3">
      <c r="A476" s="1"/>
      <c r="B476" s="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</row>
    <row r="477" spans="1:68" ht="15" x14ac:dyDescent="0.3">
      <c r="A477" s="1"/>
      <c r="B477" s="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</row>
    <row r="478" spans="1:68" ht="15" x14ac:dyDescent="0.3">
      <c r="A478" s="1"/>
      <c r="B478" s="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</row>
    <row r="479" spans="1:68" ht="15" x14ac:dyDescent="0.3">
      <c r="A479" s="1"/>
      <c r="B479" s="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</row>
    <row r="480" spans="1:68" ht="15" x14ac:dyDescent="0.3">
      <c r="A480" s="1"/>
      <c r="B480" s="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</row>
    <row r="481" spans="1:68" ht="15" x14ac:dyDescent="0.3">
      <c r="A481" s="1"/>
      <c r="B481" s="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</row>
    <row r="482" spans="1:68" ht="15" x14ac:dyDescent="0.3">
      <c r="A482" s="1"/>
      <c r="B482" s="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</row>
    <row r="483" spans="1:68" ht="15" x14ac:dyDescent="0.3">
      <c r="A483" s="1"/>
      <c r="B483" s="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</row>
    <row r="484" spans="1:68" ht="15" x14ac:dyDescent="0.3">
      <c r="A484" s="1"/>
      <c r="B484" s="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</row>
    <row r="485" spans="1:68" ht="15" x14ac:dyDescent="0.3">
      <c r="A485" s="1"/>
      <c r="B485" s="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</row>
    <row r="486" spans="1:68" ht="15" x14ac:dyDescent="0.3">
      <c r="A486" s="1"/>
      <c r="B486" s="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</row>
    <row r="487" spans="1:68" ht="15" x14ac:dyDescent="0.3">
      <c r="A487" s="1"/>
      <c r="B487" s="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</row>
    <row r="488" spans="1:68" ht="15" x14ac:dyDescent="0.3">
      <c r="A488" s="1"/>
      <c r="B488" s="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</row>
    <row r="489" spans="1:68" ht="15" x14ac:dyDescent="0.3">
      <c r="A489" s="1"/>
      <c r="B489" s="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</row>
    <row r="490" spans="1:68" ht="15" x14ac:dyDescent="0.3">
      <c r="A490" s="1"/>
      <c r="B490" s="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</row>
    <row r="491" spans="1:68" ht="15" x14ac:dyDescent="0.3">
      <c r="A491" s="1"/>
      <c r="B491" s="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</row>
    <row r="492" spans="1:68" ht="15" x14ac:dyDescent="0.3">
      <c r="A492" s="1"/>
      <c r="B492" s="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</row>
    <row r="493" spans="1:68" ht="15" x14ac:dyDescent="0.3">
      <c r="A493" s="1"/>
      <c r="B493" s="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</row>
    <row r="494" spans="1:68" ht="15" x14ac:dyDescent="0.3">
      <c r="A494" s="1"/>
      <c r="B494" s="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</row>
    <row r="495" spans="1:68" ht="15" x14ac:dyDescent="0.3">
      <c r="A495" s="1"/>
      <c r="B495" s="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</row>
    <row r="496" spans="1:68" ht="15" x14ac:dyDescent="0.3">
      <c r="A496" s="1"/>
      <c r="B496" s="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</row>
    <row r="497" spans="1:68" ht="15" x14ac:dyDescent="0.3">
      <c r="A497" s="1"/>
      <c r="B497" s="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</row>
    <row r="498" spans="1:68" ht="15" x14ac:dyDescent="0.3">
      <c r="A498" s="1"/>
      <c r="B498" s="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</row>
    <row r="499" spans="1:68" ht="15" x14ac:dyDescent="0.3">
      <c r="A499" s="1"/>
      <c r="B499" s="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</row>
    <row r="500" spans="1:68" ht="15" x14ac:dyDescent="0.3">
      <c r="A500" s="1"/>
      <c r="B500" s="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</row>
    <row r="501" spans="1:68" ht="15" x14ac:dyDescent="0.3">
      <c r="A501" s="1"/>
      <c r="B501" s="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</row>
    <row r="502" spans="1:68" ht="15" x14ac:dyDescent="0.3">
      <c r="A502" s="1"/>
      <c r="B502" s="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</row>
    <row r="503" spans="1:68" ht="15" x14ac:dyDescent="0.3">
      <c r="A503" s="1"/>
      <c r="B503" s="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</row>
    <row r="504" spans="1:68" ht="15" x14ac:dyDescent="0.3">
      <c r="A504" s="1"/>
      <c r="B504" s="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</row>
    <row r="505" spans="1:68" ht="15" x14ac:dyDescent="0.3">
      <c r="A505" s="1"/>
      <c r="B505" s="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</row>
    <row r="506" spans="1:68" ht="15" x14ac:dyDescent="0.3">
      <c r="A506" s="1"/>
      <c r="B506" s="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</row>
    <row r="507" spans="1:68" ht="15" x14ac:dyDescent="0.3">
      <c r="A507" s="1"/>
      <c r="B507" s="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</row>
    <row r="508" spans="1:68" ht="15" x14ac:dyDescent="0.3">
      <c r="A508" s="1"/>
      <c r="B508" s="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</row>
    <row r="509" spans="1:68" ht="15" x14ac:dyDescent="0.3">
      <c r="A509" s="1"/>
      <c r="B509" s="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</row>
    <row r="510" spans="1:68" ht="15" x14ac:dyDescent="0.3">
      <c r="A510" s="1"/>
      <c r="B510" s="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</row>
    <row r="511" spans="1:68" ht="15" x14ac:dyDescent="0.3">
      <c r="A511" s="1"/>
      <c r="B511" s="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</row>
    <row r="512" spans="1:68" ht="15" x14ac:dyDescent="0.3">
      <c r="A512" s="1"/>
      <c r="B512" s="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</row>
    <row r="513" spans="1:68" ht="15" x14ac:dyDescent="0.3">
      <c r="A513" s="1"/>
      <c r="B513" s="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</row>
    <row r="514" spans="1:68" ht="15" x14ac:dyDescent="0.3">
      <c r="A514" s="1"/>
      <c r="B514" s="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</row>
    <row r="515" spans="1:68" ht="15" x14ac:dyDescent="0.3">
      <c r="A515" s="1"/>
      <c r="B515" s="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</row>
    <row r="516" spans="1:68" ht="15" x14ac:dyDescent="0.3">
      <c r="A516" s="1"/>
      <c r="B516" s="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</row>
    <row r="517" spans="1:68" ht="15" x14ac:dyDescent="0.3">
      <c r="A517" s="1"/>
      <c r="B517" s="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</row>
    <row r="518" spans="1:68" ht="15" x14ac:dyDescent="0.3">
      <c r="A518" s="1"/>
      <c r="B518" s="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</row>
    <row r="519" spans="1:68" ht="15" x14ac:dyDescent="0.3">
      <c r="A519" s="1"/>
      <c r="B519" s="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</row>
    <row r="520" spans="1:68" ht="15" x14ac:dyDescent="0.3">
      <c r="A520" s="1"/>
      <c r="B520" s="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</row>
    <row r="521" spans="1:68" ht="15" x14ac:dyDescent="0.3">
      <c r="A521" s="1"/>
      <c r="B521" s="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</row>
    <row r="522" spans="1:68" ht="15" x14ac:dyDescent="0.3">
      <c r="A522" s="1"/>
      <c r="B522" s="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</row>
    <row r="523" spans="1:68" ht="15" x14ac:dyDescent="0.3">
      <c r="A523" s="1"/>
      <c r="B523" s="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</row>
    <row r="524" spans="1:68" ht="15" x14ac:dyDescent="0.3">
      <c r="A524" s="1"/>
      <c r="B524" s="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</row>
    <row r="525" spans="1:68" ht="15" x14ac:dyDescent="0.3">
      <c r="A525" s="1"/>
      <c r="B525" s="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</row>
    <row r="526" spans="1:68" ht="15" x14ac:dyDescent="0.3">
      <c r="A526" s="1"/>
      <c r="B526" s="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</row>
    <row r="527" spans="1:68" ht="15" x14ac:dyDescent="0.3">
      <c r="A527" s="1"/>
      <c r="B527" s="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</row>
    <row r="528" spans="1:68" ht="15" x14ac:dyDescent="0.3">
      <c r="A528" s="1"/>
      <c r="B528" s="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</row>
    <row r="529" spans="1:68" ht="15" x14ac:dyDescent="0.3">
      <c r="A529" s="1"/>
      <c r="B529" s="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</row>
    <row r="530" spans="1:68" ht="15" x14ac:dyDescent="0.3">
      <c r="A530" s="1"/>
      <c r="B530" s="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</row>
    <row r="531" spans="1:68" ht="15" x14ac:dyDescent="0.3">
      <c r="A531" s="1"/>
      <c r="B531" s="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</row>
    <row r="532" spans="1:68" ht="15" x14ac:dyDescent="0.3">
      <c r="A532" s="1"/>
      <c r="B532" s="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</row>
    <row r="533" spans="1:68" ht="15" x14ac:dyDescent="0.3">
      <c r="A533" s="1"/>
      <c r="B533" s="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</row>
    <row r="534" spans="1:68" ht="15" x14ac:dyDescent="0.3">
      <c r="A534" s="1"/>
      <c r="B534" s="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</row>
    <row r="535" spans="1:68" ht="15" x14ac:dyDescent="0.3">
      <c r="A535" s="1"/>
      <c r="B535" s="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</row>
    <row r="536" spans="1:68" ht="15" x14ac:dyDescent="0.3">
      <c r="A536" s="1"/>
      <c r="B536" s="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</row>
    <row r="537" spans="1:68" ht="15" x14ac:dyDescent="0.3">
      <c r="A537" s="1"/>
      <c r="B537" s="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</row>
    <row r="538" spans="1:68" ht="15" x14ac:dyDescent="0.3">
      <c r="A538" s="1"/>
      <c r="B538" s="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</row>
    <row r="539" spans="1:68" ht="15" x14ac:dyDescent="0.3">
      <c r="A539" s="1"/>
      <c r="B539" s="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</row>
    <row r="540" spans="1:68" ht="15" x14ac:dyDescent="0.3">
      <c r="A540" s="1"/>
      <c r="B540" s="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</row>
    <row r="541" spans="1:68" ht="15" x14ac:dyDescent="0.3">
      <c r="A541" s="1"/>
      <c r="B541" s="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</row>
    <row r="542" spans="1:68" ht="15" x14ac:dyDescent="0.3">
      <c r="A542" s="1"/>
      <c r="B542" s="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</row>
    <row r="543" spans="1:68" ht="15" x14ac:dyDescent="0.3">
      <c r="A543" s="1"/>
      <c r="B543" s="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</row>
    <row r="544" spans="1:68" ht="15" x14ac:dyDescent="0.3">
      <c r="A544" s="1"/>
      <c r="B544" s="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</row>
    <row r="545" spans="1:68" ht="15" x14ac:dyDescent="0.3">
      <c r="A545" s="1"/>
      <c r="B545" s="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</row>
    <row r="546" spans="1:68" ht="15" x14ac:dyDescent="0.3">
      <c r="A546" s="1"/>
      <c r="B546" s="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</row>
    <row r="547" spans="1:68" ht="15" x14ac:dyDescent="0.3">
      <c r="A547" s="1"/>
      <c r="B547" s="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</row>
    <row r="548" spans="1:68" ht="15" x14ac:dyDescent="0.3">
      <c r="A548" s="1"/>
      <c r="B548" s="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</row>
    <row r="549" spans="1:68" ht="15" x14ac:dyDescent="0.3">
      <c r="A549" s="1"/>
      <c r="B549" s="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</row>
    <row r="550" spans="1:68" ht="15" x14ac:dyDescent="0.3">
      <c r="A550" s="1"/>
      <c r="B550" s="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</row>
    <row r="551" spans="1:68" ht="15" x14ac:dyDescent="0.3">
      <c r="A551" s="1"/>
      <c r="B551" s="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</row>
    <row r="552" spans="1:68" ht="15" x14ac:dyDescent="0.3">
      <c r="A552" s="1"/>
      <c r="B552" s="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</row>
    <row r="553" spans="1:68" ht="15" x14ac:dyDescent="0.3">
      <c r="A553" s="1"/>
      <c r="B553" s="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</row>
    <row r="554" spans="1:68" ht="15" x14ac:dyDescent="0.3">
      <c r="A554" s="1"/>
      <c r="B554" s="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</row>
    <row r="555" spans="1:68" ht="15" x14ac:dyDescent="0.3">
      <c r="A555" s="1"/>
      <c r="B555" s="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</row>
    <row r="556" spans="1:68" ht="15" x14ac:dyDescent="0.3">
      <c r="A556" s="1"/>
      <c r="B556" s="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</row>
    <row r="557" spans="1:68" ht="15" x14ac:dyDescent="0.3">
      <c r="A557" s="1"/>
      <c r="B557" s="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</row>
    <row r="558" spans="1:68" ht="15" x14ac:dyDescent="0.3">
      <c r="A558" s="1"/>
      <c r="B558" s="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</row>
    <row r="559" spans="1:68" ht="15" x14ac:dyDescent="0.3">
      <c r="A559" s="1"/>
      <c r="B559" s="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</row>
    <row r="560" spans="1:68" ht="15" x14ac:dyDescent="0.3">
      <c r="A560" s="1"/>
      <c r="B560" s="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</row>
    <row r="561" spans="1:68" ht="15" x14ac:dyDescent="0.3">
      <c r="A561" s="1"/>
      <c r="B561" s="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</row>
    <row r="562" spans="1:68" ht="15" x14ac:dyDescent="0.3">
      <c r="A562" s="1"/>
      <c r="B562" s="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</row>
    <row r="563" spans="1:68" ht="15" x14ac:dyDescent="0.3">
      <c r="A563" s="1"/>
      <c r="B563" s="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</row>
    <row r="564" spans="1:68" ht="15" x14ac:dyDescent="0.3">
      <c r="A564" s="1"/>
      <c r="B564" s="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</row>
    <row r="565" spans="1:68" ht="15" x14ac:dyDescent="0.3">
      <c r="A565" s="1"/>
      <c r="B565" s="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</row>
    <row r="566" spans="1:68" ht="15" x14ac:dyDescent="0.3">
      <c r="A566" s="1"/>
      <c r="B566" s="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</row>
    <row r="567" spans="1:68" ht="15" x14ac:dyDescent="0.3">
      <c r="A567" s="1"/>
      <c r="B567" s="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</row>
    <row r="568" spans="1:68" ht="15" x14ac:dyDescent="0.3">
      <c r="A568" s="1"/>
      <c r="B568" s="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</row>
    <row r="569" spans="1:68" ht="15" x14ac:dyDescent="0.3">
      <c r="A569" s="1"/>
      <c r="B569" s="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</row>
    <row r="570" spans="1:68" ht="15" x14ac:dyDescent="0.3">
      <c r="A570" s="1"/>
      <c r="B570" s="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</row>
    <row r="571" spans="1:68" ht="15" x14ac:dyDescent="0.3">
      <c r="A571" s="1"/>
      <c r="B571" s="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</row>
    <row r="572" spans="1:68" ht="15" x14ac:dyDescent="0.3">
      <c r="A572" s="1"/>
      <c r="B572" s="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</row>
    <row r="573" spans="1:68" ht="15" x14ac:dyDescent="0.3">
      <c r="A573" s="1"/>
      <c r="B573" s="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</row>
    <row r="574" spans="1:68" ht="15" x14ac:dyDescent="0.3">
      <c r="A574" s="1"/>
      <c r="B574" s="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</row>
    <row r="575" spans="1:68" ht="15" x14ac:dyDescent="0.3">
      <c r="A575" s="1"/>
      <c r="B575" s="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</row>
    <row r="576" spans="1:68" ht="15" x14ac:dyDescent="0.3">
      <c r="A576" s="1"/>
      <c r="B576" s="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</row>
    <row r="577" spans="1:68" ht="15" x14ac:dyDescent="0.3">
      <c r="A577" s="1"/>
      <c r="B577" s="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</row>
    <row r="578" spans="1:68" ht="15" x14ac:dyDescent="0.3">
      <c r="A578" s="1"/>
      <c r="B578" s="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</row>
    <row r="579" spans="1:68" ht="15" x14ac:dyDescent="0.3">
      <c r="A579" s="1"/>
      <c r="B579" s="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</row>
    <row r="580" spans="1:68" ht="15" x14ac:dyDescent="0.3">
      <c r="A580" s="1"/>
      <c r="B580" s="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</row>
    <row r="581" spans="1:68" ht="15" x14ac:dyDescent="0.3">
      <c r="A581" s="1"/>
      <c r="B581" s="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</row>
    <row r="582" spans="1:68" ht="15" x14ac:dyDescent="0.3">
      <c r="A582" s="1"/>
      <c r="B582" s="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</row>
    <row r="583" spans="1:68" ht="15" x14ac:dyDescent="0.3">
      <c r="A583" s="1"/>
      <c r="B583" s="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</row>
    <row r="584" spans="1:68" ht="15" x14ac:dyDescent="0.3">
      <c r="A584" s="1"/>
      <c r="B584" s="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</row>
    <row r="585" spans="1:68" ht="15" x14ac:dyDescent="0.3">
      <c r="A585" s="1"/>
      <c r="B585" s="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</row>
    <row r="586" spans="1:68" ht="15" x14ac:dyDescent="0.3">
      <c r="A586" s="1"/>
      <c r="B586" s="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</row>
    <row r="587" spans="1:68" ht="15" x14ac:dyDescent="0.3">
      <c r="A587" s="1"/>
      <c r="B587" s="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</row>
    <row r="588" spans="1:68" ht="15" x14ac:dyDescent="0.3">
      <c r="A588" s="1"/>
      <c r="B588" s="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</row>
    <row r="589" spans="1:68" ht="15" x14ac:dyDescent="0.3">
      <c r="A589" s="1"/>
      <c r="B589" s="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</row>
    <row r="590" spans="1:68" ht="15" x14ac:dyDescent="0.3">
      <c r="A590" s="1"/>
      <c r="B590" s="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</row>
    <row r="591" spans="1:68" ht="15" x14ac:dyDescent="0.3">
      <c r="A591" s="1"/>
      <c r="B591" s="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</row>
    <row r="592" spans="1:68" ht="15" x14ac:dyDescent="0.3">
      <c r="A592" s="1"/>
      <c r="B592" s="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</row>
    <row r="593" spans="1:68" ht="15" x14ac:dyDescent="0.3">
      <c r="A593" s="1"/>
      <c r="B593" s="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</row>
    <row r="594" spans="1:68" ht="15" x14ac:dyDescent="0.3">
      <c r="A594" s="1"/>
      <c r="B594" s="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</row>
    <row r="595" spans="1:68" ht="15" x14ac:dyDescent="0.3">
      <c r="A595" s="1"/>
      <c r="B595" s="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</row>
    <row r="596" spans="1:68" ht="15" x14ac:dyDescent="0.3">
      <c r="A596" s="1"/>
      <c r="B596" s="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</row>
    <row r="597" spans="1:68" ht="15" x14ac:dyDescent="0.3">
      <c r="A597" s="1"/>
      <c r="B597" s="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</row>
    <row r="598" spans="1:68" ht="15" x14ac:dyDescent="0.3">
      <c r="A598" s="1"/>
      <c r="B598" s="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</row>
    <row r="599" spans="1:68" ht="15" x14ac:dyDescent="0.3">
      <c r="A599" s="1"/>
      <c r="B599" s="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</row>
    <row r="600" spans="1:68" ht="15" x14ac:dyDescent="0.3">
      <c r="A600" s="1"/>
      <c r="B600" s="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</row>
    <row r="601" spans="1:68" ht="15" x14ac:dyDescent="0.3">
      <c r="A601" s="1"/>
      <c r="B601" s="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</row>
    <row r="602" spans="1:68" ht="15" x14ac:dyDescent="0.3">
      <c r="A602" s="1"/>
      <c r="B602" s="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</row>
    <row r="603" spans="1:68" ht="15" x14ac:dyDescent="0.3">
      <c r="A603" s="1"/>
      <c r="B603" s="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</row>
    <row r="604" spans="1:68" ht="15" x14ac:dyDescent="0.3">
      <c r="A604" s="1"/>
      <c r="B604" s="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</row>
    <row r="605" spans="1:68" ht="15" x14ac:dyDescent="0.3">
      <c r="A605" s="1"/>
      <c r="B605" s="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</row>
    <row r="606" spans="1:68" ht="15" x14ac:dyDescent="0.3">
      <c r="A606" s="1"/>
      <c r="B606" s="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</row>
    <row r="607" spans="1:68" ht="15" x14ac:dyDescent="0.3">
      <c r="A607" s="1"/>
      <c r="B607" s="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</row>
    <row r="608" spans="1:68" ht="15" x14ac:dyDescent="0.3">
      <c r="A608" s="1"/>
      <c r="B608" s="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</row>
    <row r="609" spans="1:68" ht="15" x14ac:dyDescent="0.3">
      <c r="A609" s="1"/>
      <c r="B609" s="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</row>
    <row r="610" spans="1:68" ht="15" x14ac:dyDescent="0.3">
      <c r="A610" s="1"/>
      <c r="B610" s="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</row>
    <row r="611" spans="1:68" ht="15" x14ac:dyDescent="0.3">
      <c r="A611" s="1"/>
      <c r="B611" s="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</row>
    <row r="612" spans="1:68" ht="15" x14ac:dyDescent="0.3">
      <c r="A612" s="1"/>
      <c r="B612" s="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</row>
    <row r="613" spans="1:68" ht="15" x14ac:dyDescent="0.3">
      <c r="A613" s="1"/>
      <c r="B613" s="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</row>
    <row r="614" spans="1:68" ht="15" x14ac:dyDescent="0.3">
      <c r="A614" s="1"/>
      <c r="B614" s="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</row>
    <row r="615" spans="1:68" ht="15" x14ac:dyDescent="0.3">
      <c r="A615" s="1"/>
      <c r="B615" s="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</row>
    <row r="616" spans="1:68" ht="15" x14ac:dyDescent="0.3">
      <c r="A616" s="1"/>
      <c r="B616" s="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</row>
    <row r="617" spans="1:68" ht="15" x14ac:dyDescent="0.3">
      <c r="A617" s="1"/>
      <c r="B617" s="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</row>
    <row r="618" spans="1:68" ht="15" x14ac:dyDescent="0.3">
      <c r="A618" s="1"/>
      <c r="B618" s="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</row>
    <row r="619" spans="1:68" ht="15" x14ac:dyDescent="0.3">
      <c r="A619" s="1"/>
      <c r="B619" s="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</row>
    <row r="620" spans="1:68" ht="15" x14ac:dyDescent="0.3">
      <c r="A620" s="1"/>
      <c r="B620" s="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</row>
    <row r="621" spans="1:68" ht="15" x14ac:dyDescent="0.3">
      <c r="A621" s="1"/>
      <c r="B621" s="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</row>
    <row r="622" spans="1:68" ht="15" x14ac:dyDescent="0.3">
      <c r="A622" s="1"/>
      <c r="B622" s="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</row>
    <row r="623" spans="1:68" ht="15" x14ac:dyDescent="0.3">
      <c r="A623" s="1"/>
      <c r="B623" s="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</row>
    <row r="624" spans="1:68" ht="15" x14ac:dyDescent="0.3">
      <c r="A624" s="1"/>
      <c r="B624" s="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</row>
    <row r="625" spans="1:68" ht="15" x14ac:dyDescent="0.3">
      <c r="A625" s="1"/>
      <c r="B625" s="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</row>
    <row r="626" spans="1:68" ht="15" x14ac:dyDescent="0.3">
      <c r="A626" s="1"/>
      <c r="B626" s="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</row>
    <row r="627" spans="1:68" ht="15" x14ac:dyDescent="0.3">
      <c r="A627" s="1"/>
      <c r="B627" s="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</row>
    <row r="628" spans="1:68" ht="15" x14ac:dyDescent="0.3">
      <c r="A628" s="1"/>
      <c r="B628" s="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</row>
    <row r="629" spans="1:68" ht="15" x14ac:dyDescent="0.3">
      <c r="A629" s="1"/>
      <c r="B629" s="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</row>
    <row r="630" spans="1:68" ht="15" x14ac:dyDescent="0.3">
      <c r="A630" s="1"/>
      <c r="B630" s="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</row>
    <row r="631" spans="1:68" ht="15" x14ac:dyDescent="0.3">
      <c r="A631" s="1"/>
      <c r="B631" s="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</row>
    <row r="632" spans="1:68" ht="15" x14ac:dyDescent="0.3">
      <c r="A632" s="1"/>
      <c r="B632" s="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</row>
    <row r="633" spans="1:68" ht="15" x14ac:dyDescent="0.3">
      <c r="A633" s="1"/>
      <c r="B633" s="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</row>
    <row r="634" spans="1:68" ht="15" x14ac:dyDescent="0.3">
      <c r="A634" s="1"/>
      <c r="B634" s="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</row>
    <row r="635" spans="1:68" ht="15" x14ac:dyDescent="0.3">
      <c r="A635" s="1"/>
      <c r="B635" s="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</row>
    <row r="636" spans="1:68" ht="15" x14ac:dyDescent="0.3">
      <c r="A636" s="1"/>
      <c r="B636" s="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</row>
    <row r="637" spans="1:68" ht="15" x14ac:dyDescent="0.3">
      <c r="A637" s="1"/>
      <c r="B637" s="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</row>
    <row r="638" spans="1:68" ht="15" x14ac:dyDescent="0.3">
      <c r="A638" s="1"/>
      <c r="B638" s="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</row>
    <row r="639" spans="1:68" ht="15" x14ac:dyDescent="0.3">
      <c r="A639" s="1"/>
      <c r="B639" s="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</row>
    <row r="640" spans="1:68" ht="15" x14ac:dyDescent="0.3">
      <c r="A640" s="1"/>
      <c r="B640" s="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</row>
    <row r="641" spans="1:68" ht="15" x14ac:dyDescent="0.3">
      <c r="A641" s="1"/>
      <c r="B641" s="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</row>
    <row r="642" spans="1:68" ht="15" x14ac:dyDescent="0.3">
      <c r="A642" s="1"/>
      <c r="B642" s="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</row>
    <row r="643" spans="1:68" ht="15" x14ac:dyDescent="0.3">
      <c r="A643" s="1"/>
      <c r="B643" s="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</row>
    <row r="644" spans="1:68" ht="15" x14ac:dyDescent="0.3">
      <c r="A644" s="1"/>
      <c r="B644" s="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</row>
    <row r="645" spans="1:68" ht="15" x14ac:dyDescent="0.3">
      <c r="A645" s="1"/>
      <c r="B645" s="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</row>
    <row r="646" spans="1:68" ht="15" x14ac:dyDescent="0.3">
      <c r="A646" s="1"/>
      <c r="B646" s="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</row>
    <row r="647" spans="1:68" ht="15" x14ac:dyDescent="0.3">
      <c r="A647" s="1"/>
      <c r="B647" s="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</row>
    <row r="648" spans="1:68" ht="15" x14ac:dyDescent="0.3">
      <c r="A648" s="1"/>
      <c r="B648" s="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</row>
    <row r="649" spans="1:68" ht="15" x14ac:dyDescent="0.3">
      <c r="A649" s="1"/>
      <c r="B649" s="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</row>
    <row r="650" spans="1:68" ht="15" x14ac:dyDescent="0.3">
      <c r="A650" s="1"/>
      <c r="B650" s="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</row>
    <row r="651" spans="1:68" ht="15" x14ac:dyDescent="0.3">
      <c r="A651" s="1"/>
      <c r="B651" s="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</row>
    <row r="652" spans="1:68" ht="15" x14ac:dyDescent="0.3">
      <c r="A652" s="1"/>
      <c r="B652" s="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</row>
    <row r="653" spans="1:68" ht="15" x14ac:dyDescent="0.3">
      <c r="A653" s="1"/>
      <c r="B653" s="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</row>
    <row r="654" spans="1:68" ht="15" x14ac:dyDescent="0.3">
      <c r="A654" s="1"/>
      <c r="B654" s="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</row>
    <row r="655" spans="1:68" ht="15" x14ac:dyDescent="0.3">
      <c r="A655" s="1"/>
      <c r="B655" s="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</row>
    <row r="656" spans="1:68" ht="15" x14ac:dyDescent="0.3">
      <c r="A656" s="1"/>
      <c r="B656" s="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</row>
    <row r="657" spans="1:68" ht="15" x14ac:dyDescent="0.3">
      <c r="A657" s="1"/>
      <c r="B657" s="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</row>
    <row r="658" spans="1:68" ht="15" x14ac:dyDescent="0.3">
      <c r="A658" s="1"/>
      <c r="B658" s="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</row>
    <row r="659" spans="1:68" ht="15" x14ac:dyDescent="0.3">
      <c r="A659" s="1"/>
      <c r="B659" s="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</row>
    <row r="660" spans="1:68" ht="15" x14ac:dyDescent="0.3">
      <c r="A660" s="1"/>
      <c r="B660" s="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</row>
    <row r="661" spans="1:68" ht="15" x14ac:dyDescent="0.3">
      <c r="A661" s="1"/>
      <c r="B661" s="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</row>
    <row r="662" spans="1:68" ht="15" x14ac:dyDescent="0.3">
      <c r="A662" s="1"/>
      <c r="B662" s="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</row>
    <row r="663" spans="1:68" ht="15" x14ac:dyDescent="0.3">
      <c r="A663" s="1"/>
      <c r="B663" s="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</row>
    <row r="664" spans="1:68" ht="15" x14ac:dyDescent="0.3">
      <c r="A664" s="1"/>
      <c r="B664" s="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</row>
    <row r="665" spans="1:68" ht="15" x14ac:dyDescent="0.3">
      <c r="A665" s="1"/>
      <c r="B665" s="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</row>
    <row r="666" spans="1:68" ht="15" x14ac:dyDescent="0.3">
      <c r="A666" s="1"/>
      <c r="B666" s="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</row>
    <row r="667" spans="1:68" ht="15" x14ac:dyDescent="0.3">
      <c r="A667" s="1"/>
      <c r="B667" s="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</row>
    <row r="668" spans="1:68" ht="15" x14ac:dyDescent="0.3">
      <c r="A668" s="1"/>
      <c r="B668" s="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</row>
    <row r="669" spans="1:68" ht="15" x14ac:dyDescent="0.3">
      <c r="A669" s="1"/>
      <c r="B669" s="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</row>
    <row r="670" spans="1:68" ht="15" x14ac:dyDescent="0.3">
      <c r="A670" s="1"/>
      <c r="B670" s="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</row>
    <row r="671" spans="1:68" ht="15" x14ac:dyDescent="0.3">
      <c r="A671" s="1"/>
      <c r="B671" s="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</row>
    <row r="672" spans="1:68" ht="15" x14ac:dyDescent="0.3">
      <c r="A672" s="1"/>
      <c r="B672" s="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</row>
    <row r="673" spans="1:68" ht="15" x14ac:dyDescent="0.3">
      <c r="A673" s="1"/>
      <c r="B673" s="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</row>
    <row r="674" spans="1:68" ht="15" x14ac:dyDescent="0.3">
      <c r="A674" s="1"/>
      <c r="B674" s="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</row>
    <row r="675" spans="1:68" ht="15" x14ac:dyDescent="0.3">
      <c r="A675" s="1"/>
      <c r="B675" s="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</row>
    <row r="676" spans="1:68" ht="15" x14ac:dyDescent="0.3">
      <c r="A676" s="1"/>
      <c r="B676" s="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</row>
    <row r="677" spans="1:68" ht="15" x14ac:dyDescent="0.3">
      <c r="A677" s="1"/>
      <c r="B677" s="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</row>
    <row r="678" spans="1:68" ht="15" x14ac:dyDescent="0.3">
      <c r="A678" s="1"/>
      <c r="B678" s="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</row>
    <row r="679" spans="1:68" ht="15" x14ac:dyDescent="0.3">
      <c r="A679" s="1"/>
      <c r="B679" s="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</row>
    <row r="680" spans="1:68" ht="15" x14ac:dyDescent="0.3">
      <c r="A680" s="1"/>
      <c r="B680" s="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</row>
    <row r="681" spans="1:68" ht="15" x14ac:dyDescent="0.3">
      <c r="A681" s="1"/>
      <c r="B681" s="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</row>
    <row r="682" spans="1:68" ht="15" x14ac:dyDescent="0.3">
      <c r="A682" s="1"/>
      <c r="B682" s="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</row>
    <row r="683" spans="1:68" ht="15" x14ac:dyDescent="0.3">
      <c r="A683" s="1"/>
      <c r="B683" s="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</row>
    <row r="684" spans="1:68" ht="15" x14ac:dyDescent="0.3">
      <c r="A684" s="1"/>
      <c r="B684" s="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</row>
    <row r="685" spans="1:68" ht="15" x14ac:dyDescent="0.3">
      <c r="A685" s="1"/>
      <c r="B685" s="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</row>
    <row r="686" spans="1:68" ht="15" x14ac:dyDescent="0.3">
      <c r="A686" s="1"/>
      <c r="B686" s="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</row>
    <row r="687" spans="1:68" ht="15" x14ac:dyDescent="0.3">
      <c r="A687" s="1"/>
      <c r="B687" s="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</row>
    <row r="688" spans="1:68" ht="15" x14ac:dyDescent="0.3">
      <c r="A688" s="1"/>
      <c r="B688" s="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</row>
    <row r="689" spans="1:68" ht="15" x14ac:dyDescent="0.3">
      <c r="A689" s="1"/>
      <c r="B689" s="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</row>
    <row r="690" spans="1:68" ht="15" x14ac:dyDescent="0.3">
      <c r="A690" s="1"/>
      <c r="B690" s="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</row>
    <row r="691" spans="1:68" ht="15" x14ac:dyDescent="0.3">
      <c r="A691" s="1"/>
      <c r="B691" s="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</row>
    <row r="692" spans="1:68" ht="15" x14ac:dyDescent="0.3">
      <c r="A692" s="1"/>
      <c r="B692" s="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</row>
    <row r="693" spans="1:68" ht="15" x14ac:dyDescent="0.3">
      <c r="A693" s="1"/>
      <c r="B693" s="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</row>
    <row r="694" spans="1:68" ht="15" x14ac:dyDescent="0.3">
      <c r="A694" s="1"/>
      <c r="B694" s="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</row>
    <row r="695" spans="1:68" ht="15" x14ac:dyDescent="0.3">
      <c r="A695" s="1"/>
      <c r="B695" s="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</row>
    <row r="696" spans="1:68" ht="15" x14ac:dyDescent="0.3">
      <c r="A696" s="1"/>
      <c r="B696" s="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</row>
    <row r="697" spans="1:68" ht="15" x14ac:dyDescent="0.3">
      <c r="A697" s="1"/>
      <c r="B697" s="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</row>
    <row r="698" spans="1:68" ht="15" x14ac:dyDescent="0.3">
      <c r="A698" s="1"/>
      <c r="B698" s="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</row>
    <row r="699" spans="1:68" ht="15" x14ac:dyDescent="0.3">
      <c r="A699" s="1"/>
      <c r="B699" s="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</row>
    <row r="700" spans="1:68" ht="15" x14ac:dyDescent="0.3">
      <c r="A700" s="1"/>
      <c r="B700" s="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</row>
    <row r="701" spans="1:68" ht="15" x14ac:dyDescent="0.3">
      <c r="A701" s="1"/>
      <c r="B701" s="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</row>
    <row r="702" spans="1:68" ht="15" x14ac:dyDescent="0.3">
      <c r="A702" s="1"/>
      <c r="B702" s="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</row>
    <row r="703" spans="1:68" ht="15" x14ac:dyDescent="0.3">
      <c r="A703" s="1"/>
      <c r="B703" s="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</row>
    <row r="704" spans="1:68" ht="15" x14ac:dyDescent="0.3">
      <c r="A704" s="1"/>
      <c r="B704" s="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</row>
    <row r="705" spans="1:68" ht="15" x14ac:dyDescent="0.3">
      <c r="A705" s="1"/>
      <c r="B705" s="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</row>
    <row r="706" spans="1:68" ht="15" x14ac:dyDescent="0.3">
      <c r="A706" s="1"/>
      <c r="B706" s="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</row>
    <row r="707" spans="1:68" ht="15" x14ac:dyDescent="0.3">
      <c r="A707" s="1"/>
      <c r="B707" s="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</row>
    <row r="708" spans="1:68" ht="15" x14ac:dyDescent="0.3">
      <c r="A708" s="1"/>
      <c r="B708" s="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</row>
    <row r="709" spans="1:68" ht="15" x14ac:dyDescent="0.3">
      <c r="A709" s="1"/>
      <c r="B709" s="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</row>
    <row r="710" spans="1:68" ht="15" x14ac:dyDescent="0.3">
      <c r="A710" s="1"/>
      <c r="B710" s="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</row>
    <row r="711" spans="1:68" ht="15" x14ac:dyDescent="0.3">
      <c r="A711" s="1"/>
      <c r="B711" s="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</row>
    <row r="712" spans="1:68" ht="15" x14ac:dyDescent="0.3">
      <c r="A712" s="1"/>
      <c r="B712" s="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</row>
    <row r="713" spans="1:68" ht="15" x14ac:dyDescent="0.3">
      <c r="A713" s="1"/>
      <c r="B713" s="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</row>
    <row r="714" spans="1:68" ht="15" x14ac:dyDescent="0.3">
      <c r="A714" s="1"/>
      <c r="B714" s="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</row>
    <row r="715" spans="1:68" ht="15" x14ac:dyDescent="0.3">
      <c r="A715" s="1"/>
      <c r="B715" s="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</row>
    <row r="716" spans="1:68" ht="15" x14ac:dyDescent="0.3">
      <c r="A716" s="1"/>
      <c r="B716" s="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</row>
    <row r="717" spans="1:68" ht="15" x14ac:dyDescent="0.3">
      <c r="A717" s="1"/>
      <c r="B717" s="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</row>
    <row r="718" spans="1:68" ht="15" x14ac:dyDescent="0.3">
      <c r="A718" s="1"/>
      <c r="B718" s="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</row>
    <row r="719" spans="1:68" ht="15" x14ac:dyDescent="0.3">
      <c r="A719" s="1"/>
      <c r="B719" s="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</row>
    <row r="720" spans="1:68" ht="15" x14ac:dyDescent="0.3">
      <c r="A720" s="1"/>
      <c r="B720" s="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</row>
    <row r="721" spans="1:68" ht="15" x14ac:dyDescent="0.3">
      <c r="A721" s="1"/>
      <c r="B721" s="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</row>
    <row r="722" spans="1:68" ht="15" x14ac:dyDescent="0.3">
      <c r="A722" s="1"/>
      <c r="B722" s="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</row>
    <row r="723" spans="1:68" ht="15" x14ac:dyDescent="0.3">
      <c r="A723" s="1"/>
      <c r="B723" s="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</row>
    <row r="724" spans="1:68" ht="15" x14ac:dyDescent="0.3">
      <c r="A724" s="1"/>
      <c r="B724" s="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</row>
    <row r="725" spans="1:68" ht="15" x14ac:dyDescent="0.3">
      <c r="A725" s="1"/>
      <c r="B725" s="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</row>
    <row r="726" spans="1:68" ht="15" x14ac:dyDescent="0.3">
      <c r="A726" s="1"/>
      <c r="B726" s="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</row>
    <row r="727" spans="1:68" ht="15" x14ac:dyDescent="0.3">
      <c r="A727" s="1"/>
      <c r="B727" s="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</row>
    <row r="728" spans="1:68" ht="15" x14ac:dyDescent="0.3">
      <c r="A728" s="1"/>
      <c r="B728" s="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</row>
    <row r="729" spans="1:68" ht="15" x14ac:dyDescent="0.3">
      <c r="A729" s="1"/>
      <c r="B729" s="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</row>
    <row r="730" spans="1:68" ht="15" x14ac:dyDescent="0.3">
      <c r="A730" s="1"/>
      <c r="B730" s="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</row>
    <row r="731" spans="1:68" ht="15" x14ac:dyDescent="0.3">
      <c r="A731" s="1"/>
      <c r="B731" s="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</row>
    <row r="732" spans="1:68" ht="15" x14ac:dyDescent="0.3">
      <c r="A732" s="1"/>
      <c r="B732" s="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</row>
    <row r="733" spans="1:68" ht="15" x14ac:dyDescent="0.3">
      <c r="A733" s="1"/>
      <c r="B733" s="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</row>
    <row r="734" spans="1:68" ht="15" x14ac:dyDescent="0.3">
      <c r="A734" s="1"/>
      <c r="B734" s="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</row>
    <row r="735" spans="1:68" ht="15" x14ac:dyDescent="0.3">
      <c r="A735" s="1"/>
      <c r="B735" s="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</row>
    <row r="736" spans="1:68" ht="15" x14ac:dyDescent="0.3">
      <c r="A736" s="1"/>
      <c r="B736" s="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</row>
    <row r="737" spans="1:68" ht="15" x14ac:dyDescent="0.3">
      <c r="A737" s="1"/>
      <c r="B737" s="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</row>
    <row r="738" spans="1:68" ht="15" x14ac:dyDescent="0.3">
      <c r="A738" s="1"/>
      <c r="B738" s="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</row>
    <row r="739" spans="1:68" ht="15" x14ac:dyDescent="0.3">
      <c r="A739" s="1"/>
      <c r="B739" s="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</row>
    <row r="740" spans="1:68" ht="15" x14ac:dyDescent="0.3">
      <c r="A740" s="1"/>
      <c r="B740" s="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</row>
    <row r="741" spans="1:68" ht="15" x14ac:dyDescent="0.3">
      <c r="A741" s="1"/>
      <c r="B741" s="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</row>
    <row r="742" spans="1:68" ht="15" x14ac:dyDescent="0.3">
      <c r="A742" s="1"/>
      <c r="B742" s="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</row>
    <row r="743" spans="1:68" ht="15" x14ac:dyDescent="0.3">
      <c r="A743" s="1"/>
      <c r="B743" s="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</row>
    <row r="744" spans="1:68" ht="15" x14ac:dyDescent="0.3">
      <c r="A744" s="1"/>
      <c r="B744" s="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</row>
    <row r="745" spans="1:68" ht="15" x14ac:dyDescent="0.3">
      <c r="A745" s="1"/>
      <c r="B745" s="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</row>
    <row r="746" spans="1:68" ht="15" x14ac:dyDescent="0.3">
      <c r="A746" s="1"/>
      <c r="B746" s="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</row>
    <row r="747" spans="1:68" ht="15" x14ac:dyDescent="0.3">
      <c r="A747" s="1"/>
      <c r="B747" s="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</row>
    <row r="748" spans="1:68" ht="15" x14ac:dyDescent="0.3">
      <c r="A748" s="1"/>
      <c r="B748" s="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</row>
    <row r="749" spans="1:68" ht="15" x14ac:dyDescent="0.3">
      <c r="A749" s="1"/>
      <c r="B749" s="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</row>
    <row r="750" spans="1:68" ht="15" x14ac:dyDescent="0.3">
      <c r="A750" s="1"/>
      <c r="B750" s="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</row>
    <row r="751" spans="1:68" ht="15" x14ac:dyDescent="0.3">
      <c r="A751" s="1"/>
      <c r="B751" s="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</row>
    <row r="752" spans="1:68" ht="15" x14ac:dyDescent="0.3">
      <c r="A752" s="1"/>
      <c r="B752" s="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</row>
    <row r="753" spans="1:68" ht="15" x14ac:dyDescent="0.3">
      <c r="A753" s="1"/>
      <c r="B753" s="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</row>
    <row r="754" spans="1:68" ht="15" x14ac:dyDescent="0.3">
      <c r="A754" s="1"/>
      <c r="B754" s="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</row>
    <row r="755" spans="1:68" ht="15" x14ac:dyDescent="0.3">
      <c r="A755" s="1"/>
      <c r="B755" s="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</row>
    <row r="756" spans="1:68" ht="15" x14ac:dyDescent="0.3">
      <c r="A756" s="1"/>
      <c r="B756" s="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</row>
    <row r="757" spans="1:68" ht="15" x14ac:dyDescent="0.3">
      <c r="A757" s="1"/>
      <c r="B757" s="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</row>
    <row r="758" spans="1:68" ht="15" x14ac:dyDescent="0.3">
      <c r="A758" s="1"/>
      <c r="B758" s="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</row>
    <row r="759" spans="1:68" ht="15" x14ac:dyDescent="0.3">
      <c r="A759" s="1"/>
      <c r="B759" s="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</row>
    <row r="760" spans="1:68" ht="15" x14ac:dyDescent="0.3">
      <c r="A760" s="1"/>
      <c r="B760" s="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</row>
    <row r="761" spans="1:68" ht="15" x14ac:dyDescent="0.3">
      <c r="A761" s="1"/>
      <c r="B761" s="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</row>
    <row r="762" spans="1:68" ht="15" x14ac:dyDescent="0.3">
      <c r="A762" s="1"/>
      <c r="B762" s="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</row>
    <row r="763" spans="1:68" ht="15" x14ac:dyDescent="0.3">
      <c r="A763" s="1"/>
      <c r="B763" s="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</row>
    <row r="764" spans="1:68" ht="15" x14ac:dyDescent="0.3">
      <c r="A764" s="1"/>
      <c r="B764" s="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</row>
    <row r="765" spans="1:68" ht="15" x14ac:dyDescent="0.3">
      <c r="A765" s="1"/>
      <c r="B765" s="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</row>
    <row r="766" spans="1:68" ht="15" x14ac:dyDescent="0.3">
      <c r="A766" s="1"/>
      <c r="B766" s="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</row>
    <row r="767" spans="1:68" ht="15" x14ac:dyDescent="0.3">
      <c r="A767" s="1"/>
      <c r="B767" s="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</row>
    <row r="768" spans="1:68" ht="15" x14ac:dyDescent="0.3">
      <c r="A768" s="1"/>
      <c r="B768" s="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</row>
    <row r="769" spans="1:68" ht="15" x14ac:dyDescent="0.3">
      <c r="A769" s="1"/>
      <c r="B769" s="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</row>
    <row r="770" spans="1:68" ht="15" x14ac:dyDescent="0.3">
      <c r="A770" s="1"/>
      <c r="B770" s="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</row>
    <row r="771" spans="1:68" ht="15" x14ac:dyDescent="0.3">
      <c r="A771" s="1"/>
      <c r="B771" s="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</row>
    <row r="772" spans="1:68" ht="15" x14ac:dyDescent="0.3">
      <c r="A772" s="1"/>
      <c r="B772" s="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</row>
    <row r="773" spans="1:68" ht="15" x14ac:dyDescent="0.3">
      <c r="A773" s="1"/>
      <c r="B773" s="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</row>
    <row r="774" spans="1:68" ht="15" x14ac:dyDescent="0.3">
      <c r="A774" s="1"/>
      <c r="B774" s="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</row>
    <row r="775" spans="1:68" ht="15" x14ac:dyDescent="0.3">
      <c r="A775" s="1"/>
      <c r="B775" s="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</row>
    <row r="776" spans="1:68" ht="15" x14ac:dyDescent="0.3">
      <c r="A776" s="1"/>
      <c r="B776" s="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</row>
    <row r="777" spans="1:68" ht="15" x14ac:dyDescent="0.3">
      <c r="A777" s="1"/>
      <c r="B777" s="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</row>
    <row r="778" spans="1:68" ht="15" x14ac:dyDescent="0.3">
      <c r="A778" s="1"/>
      <c r="B778" s="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</row>
    <row r="779" spans="1:68" ht="15" x14ac:dyDescent="0.3">
      <c r="A779" s="1"/>
      <c r="B779" s="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</row>
    <row r="780" spans="1:68" ht="15" x14ac:dyDescent="0.3">
      <c r="A780" s="1"/>
      <c r="B780" s="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</row>
    <row r="781" spans="1:68" ht="15" x14ac:dyDescent="0.3">
      <c r="A781" s="1"/>
      <c r="B781" s="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</row>
    <row r="782" spans="1:68" ht="15" x14ac:dyDescent="0.3">
      <c r="A782" s="1"/>
      <c r="B782" s="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</row>
    <row r="783" spans="1:68" ht="15" x14ac:dyDescent="0.3">
      <c r="A783" s="1"/>
      <c r="B783" s="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</row>
    <row r="784" spans="1:68" ht="15" x14ac:dyDescent="0.3">
      <c r="A784" s="1"/>
      <c r="B784" s="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</row>
    <row r="785" spans="1:68" ht="15" x14ac:dyDescent="0.3">
      <c r="A785" s="1"/>
      <c r="B785" s="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</row>
    <row r="786" spans="1:68" ht="15" x14ac:dyDescent="0.3">
      <c r="A786" s="1"/>
      <c r="B786" s="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</row>
    <row r="787" spans="1:68" ht="15" x14ac:dyDescent="0.3">
      <c r="A787" s="1"/>
      <c r="B787" s="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</row>
    <row r="788" spans="1:68" ht="15" x14ac:dyDescent="0.3">
      <c r="A788" s="1"/>
      <c r="B788" s="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</row>
    <row r="789" spans="1:68" ht="15" x14ac:dyDescent="0.3">
      <c r="A789" s="1"/>
      <c r="B789" s="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</row>
    <row r="790" spans="1:68" ht="15" x14ac:dyDescent="0.3">
      <c r="A790" s="1"/>
      <c r="B790" s="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</row>
    <row r="791" spans="1:68" ht="15" x14ac:dyDescent="0.3">
      <c r="A791" s="1"/>
      <c r="B791" s="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</row>
    <row r="792" spans="1:68" ht="15" x14ac:dyDescent="0.3">
      <c r="A792" s="1"/>
      <c r="B792" s="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</row>
    <row r="793" spans="1:68" ht="15" x14ac:dyDescent="0.3">
      <c r="A793" s="1"/>
      <c r="B793" s="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</row>
    <row r="794" spans="1:68" ht="15" x14ac:dyDescent="0.3">
      <c r="A794" s="1"/>
      <c r="B794" s="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</row>
    <row r="795" spans="1:68" ht="15" x14ac:dyDescent="0.3">
      <c r="A795" s="1"/>
      <c r="B795" s="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</row>
    <row r="796" spans="1:68" ht="15" x14ac:dyDescent="0.3">
      <c r="A796" s="1"/>
      <c r="B796" s="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</row>
    <row r="797" spans="1:68" ht="15" x14ac:dyDescent="0.3">
      <c r="A797" s="1"/>
      <c r="B797" s="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</row>
    <row r="798" spans="1:68" ht="15" x14ac:dyDescent="0.3">
      <c r="A798" s="1"/>
      <c r="B798" s="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</row>
    <row r="799" spans="1:68" ht="15" x14ac:dyDescent="0.3">
      <c r="A799" s="1"/>
      <c r="B799" s="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</row>
    <row r="800" spans="1:68" ht="15" x14ac:dyDescent="0.3">
      <c r="A800" s="1"/>
      <c r="B800" s="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</row>
    <row r="801" spans="1:68" ht="15" x14ac:dyDescent="0.3">
      <c r="A801" s="1"/>
      <c r="B801" s="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</row>
    <row r="802" spans="1:68" ht="15" x14ac:dyDescent="0.3">
      <c r="A802" s="1"/>
      <c r="B802" s="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</row>
    <row r="803" spans="1:68" ht="15" x14ac:dyDescent="0.3">
      <c r="A803" s="1"/>
      <c r="B803" s="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</row>
    <row r="804" spans="1:68" ht="15" x14ac:dyDescent="0.3">
      <c r="A804" s="1"/>
      <c r="B804" s="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</row>
    <row r="805" spans="1:68" ht="15" x14ac:dyDescent="0.3">
      <c r="A805" s="1"/>
      <c r="B805" s="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</row>
    <row r="806" spans="1:68" ht="15" x14ac:dyDescent="0.3">
      <c r="A806" s="1"/>
      <c r="B806" s="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</row>
    <row r="807" spans="1:68" ht="15" x14ac:dyDescent="0.3">
      <c r="A807" s="1"/>
      <c r="B807" s="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</row>
    <row r="808" spans="1:68" ht="15" x14ac:dyDescent="0.3">
      <c r="A808" s="1"/>
      <c r="B808" s="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</row>
    <row r="809" spans="1:68" ht="15" x14ac:dyDescent="0.3">
      <c r="A809" s="1"/>
      <c r="B809" s="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</row>
    <row r="810" spans="1:68" ht="15" x14ac:dyDescent="0.3">
      <c r="A810" s="1"/>
      <c r="B810" s="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</row>
    <row r="811" spans="1:68" ht="15" x14ac:dyDescent="0.3">
      <c r="A811" s="1"/>
      <c r="B811" s="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</row>
    <row r="812" spans="1:68" ht="15" x14ac:dyDescent="0.3">
      <c r="A812" s="1"/>
      <c r="B812" s="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</row>
    <row r="813" spans="1:68" ht="15" x14ac:dyDescent="0.3">
      <c r="A813" s="1"/>
      <c r="B813" s="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</row>
    <row r="814" spans="1:68" ht="15" x14ac:dyDescent="0.3">
      <c r="A814" s="1"/>
      <c r="B814" s="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</row>
    <row r="815" spans="1:68" ht="15" x14ac:dyDescent="0.3">
      <c r="A815" s="1"/>
      <c r="B815" s="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</row>
    <row r="816" spans="1:68" ht="15" x14ac:dyDescent="0.3">
      <c r="A816" s="1"/>
      <c r="B816" s="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</row>
    <row r="817" spans="1:68" ht="15" x14ac:dyDescent="0.3">
      <c r="A817" s="1"/>
      <c r="B817" s="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</row>
    <row r="818" spans="1:68" ht="15" x14ac:dyDescent="0.3">
      <c r="A818" s="1"/>
      <c r="B818" s="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</row>
    <row r="819" spans="1:68" ht="15" x14ac:dyDescent="0.3">
      <c r="A819" s="1"/>
      <c r="B819" s="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</row>
    <row r="820" spans="1:68" ht="15" x14ac:dyDescent="0.3">
      <c r="A820" s="1"/>
      <c r="B820" s="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</row>
    <row r="821" spans="1:68" ht="15" x14ac:dyDescent="0.3">
      <c r="A821" s="1"/>
      <c r="B821" s="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</row>
    <row r="822" spans="1:68" ht="15" x14ac:dyDescent="0.3">
      <c r="A822" s="1"/>
      <c r="B822" s="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</row>
    <row r="823" spans="1:68" ht="15" x14ac:dyDescent="0.3">
      <c r="A823" s="1"/>
      <c r="B823" s="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</row>
    <row r="824" spans="1:68" ht="15" x14ac:dyDescent="0.3">
      <c r="A824" s="1"/>
      <c r="B824" s="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</row>
    <row r="825" spans="1:68" ht="15" x14ac:dyDescent="0.3">
      <c r="A825" s="1"/>
      <c r="B825" s="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</row>
    <row r="826" spans="1:68" ht="15" x14ac:dyDescent="0.3">
      <c r="A826" s="1"/>
      <c r="B826" s="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</row>
    <row r="827" spans="1:68" ht="15" x14ac:dyDescent="0.3">
      <c r="A827" s="1"/>
      <c r="B827" s="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</row>
    <row r="828" spans="1:68" ht="15" x14ac:dyDescent="0.3">
      <c r="A828" s="1"/>
      <c r="B828" s="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</row>
    <row r="829" spans="1:68" ht="15" x14ac:dyDescent="0.3">
      <c r="A829" s="1"/>
      <c r="B829" s="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</row>
    <row r="830" spans="1:68" ht="15" x14ac:dyDescent="0.3">
      <c r="A830" s="1"/>
      <c r="B830" s="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</row>
    <row r="831" spans="1:68" ht="15" x14ac:dyDescent="0.3">
      <c r="A831" s="1"/>
      <c r="B831" s="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</row>
    <row r="832" spans="1:68" ht="15" x14ac:dyDescent="0.3">
      <c r="A832" s="1"/>
      <c r="B832" s="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</row>
    <row r="833" spans="1:68" ht="15" x14ac:dyDescent="0.3">
      <c r="A833" s="1"/>
      <c r="B833" s="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</row>
    <row r="834" spans="1:68" ht="15" x14ac:dyDescent="0.3">
      <c r="A834" s="1"/>
      <c r="B834" s="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</row>
    <row r="835" spans="1:68" ht="15" x14ac:dyDescent="0.3">
      <c r="A835" s="1"/>
      <c r="B835" s="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</row>
    <row r="836" spans="1:68" ht="15" x14ac:dyDescent="0.3">
      <c r="A836" s="1"/>
      <c r="B836" s="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</row>
    <row r="837" spans="1:68" ht="15" x14ac:dyDescent="0.3">
      <c r="A837" s="1"/>
      <c r="B837" s="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</row>
    <row r="838" spans="1:68" ht="15" x14ac:dyDescent="0.3">
      <c r="A838" s="1"/>
      <c r="B838" s="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</row>
    <row r="839" spans="1:68" ht="15" x14ac:dyDescent="0.3">
      <c r="A839" s="1"/>
      <c r="B839" s="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</row>
    <row r="840" spans="1:68" ht="15" x14ac:dyDescent="0.3">
      <c r="A840" s="1"/>
      <c r="B840" s="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</row>
    <row r="841" spans="1:68" ht="15" x14ac:dyDescent="0.3">
      <c r="A841" s="1"/>
      <c r="B841" s="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</row>
    <row r="842" spans="1:68" ht="15" x14ac:dyDescent="0.3">
      <c r="A842" s="1"/>
      <c r="B842" s="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</row>
    <row r="843" spans="1:68" ht="15" x14ac:dyDescent="0.3">
      <c r="A843" s="1"/>
      <c r="B843" s="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</row>
    <row r="844" spans="1:68" ht="15" x14ac:dyDescent="0.3">
      <c r="A844" s="1"/>
      <c r="B844" s="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</row>
    <row r="845" spans="1:68" ht="15" x14ac:dyDescent="0.3">
      <c r="A845" s="1"/>
      <c r="B845" s="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</row>
    <row r="846" spans="1:68" ht="15" x14ac:dyDescent="0.3">
      <c r="A846" s="1"/>
      <c r="B846" s="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</row>
    <row r="847" spans="1:68" ht="15" x14ac:dyDescent="0.3">
      <c r="A847" s="1"/>
      <c r="B847" s="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</row>
    <row r="848" spans="1:68" ht="15" x14ac:dyDescent="0.3">
      <c r="A848" s="1"/>
      <c r="B848" s="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</row>
    <row r="849" spans="1:68" ht="15" x14ac:dyDescent="0.3">
      <c r="A849" s="1"/>
      <c r="B849" s="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</row>
    <row r="850" spans="1:68" ht="15" x14ac:dyDescent="0.3">
      <c r="A850" s="1"/>
      <c r="B850" s="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</row>
    <row r="851" spans="1:68" ht="15" x14ac:dyDescent="0.3">
      <c r="A851" s="1"/>
      <c r="B851" s="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</row>
    <row r="852" spans="1:68" ht="15" x14ac:dyDescent="0.3">
      <c r="A852" s="1"/>
      <c r="B852" s="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</row>
    <row r="853" spans="1:68" ht="15" x14ac:dyDescent="0.3">
      <c r="A853" s="1"/>
      <c r="B853" s="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</row>
    <row r="854" spans="1:68" ht="15" x14ac:dyDescent="0.3">
      <c r="A854" s="1"/>
      <c r="B854" s="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</row>
    <row r="855" spans="1:68" ht="15" x14ac:dyDescent="0.3">
      <c r="A855" s="1"/>
      <c r="B855" s="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</row>
    <row r="856" spans="1:68" ht="15" x14ac:dyDescent="0.3">
      <c r="A856" s="1"/>
      <c r="B856" s="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</row>
    <row r="857" spans="1:68" ht="15" x14ac:dyDescent="0.3">
      <c r="A857" s="1"/>
      <c r="B857" s="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</row>
    <row r="858" spans="1:68" ht="15" x14ac:dyDescent="0.3">
      <c r="A858" s="1"/>
      <c r="B858" s="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</row>
    <row r="859" spans="1:68" ht="15" x14ac:dyDescent="0.3">
      <c r="A859" s="1"/>
      <c r="B859" s="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</row>
    <row r="860" spans="1:68" ht="15" x14ac:dyDescent="0.3">
      <c r="A860" s="1"/>
      <c r="B860" s="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</row>
    <row r="861" spans="1:68" ht="15" x14ac:dyDescent="0.3">
      <c r="A861" s="1"/>
      <c r="B861" s="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</row>
    <row r="862" spans="1:68" ht="15" x14ac:dyDescent="0.3">
      <c r="A862" s="1"/>
      <c r="B862" s="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</row>
    <row r="863" spans="1:68" ht="15" x14ac:dyDescent="0.3">
      <c r="A863" s="1"/>
      <c r="B863" s="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</row>
    <row r="864" spans="1:68" ht="15" x14ac:dyDescent="0.3">
      <c r="A864" s="1"/>
      <c r="B864" s="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</row>
    <row r="865" spans="1:68" ht="15" x14ac:dyDescent="0.3">
      <c r="A865" s="1"/>
      <c r="B865" s="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</row>
    <row r="866" spans="1:68" ht="15" x14ac:dyDescent="0.3">
      <c r="A866" s="1"/>
      <c r="B866" s="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</row>
    <row r="867" spans="1:68" ht="15" x14ac:dyDescent="0.3">
      <c r="A867" s="1"/>
      <c r="B867" s="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</row>
    <row r="868" spans="1:68" ht="15" x14ac:dyDescent="0.3">
      <c r="A868" s="1"/>
      <c r="B868" s="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</row>
    <row r="869" spans="1:68" ht="15" x14ac:dyDescent="0.3">
      <c r="A869" s="1"/>
      <c r="B869" s="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</row>
    <row r="870" spans="1:68" ht="15" x14ac:dyDescent="0.3">
      <c r="A870" s="1"/>
      <c r="B870" s="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</row>
    <row r="871" spans="1:68" ht="15" x14ac:dyDescent="0.3">
      <c r="A871" s="1"/>
      <c r="B871" s="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</row>
    <row r="872" spans="1:68" ht="15" x14ac:dyDescent="0.3">
      <c r="A872" s="1"/>
      <c r="B872" s="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</row>
    <row r="873" spans="1:68" ht="15" x14ac:dyDescent="0.3">
      <c r="A873" s="1"/>
      <c r="B873" s="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</row>
    <row r="874" spans="1:68" ht="15" x14ac:dyDescent="0.3">
      <c r="A874" s="1"/>
      <c r="B874" s="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</row>
    <row r="875" spans="1:68" ht="15" x14ac:dyDescent="0.3">
      <c r="A875" s="1"/>
      <c r="B875" s="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</row>
    <row r="876" spans="1:68" ht="15" x14ac:dyDescent="0.3">
      <c r="A876" s="1"/>
      <c r="B876" s="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</row>
    <row r="877" spans="1:68" ht="15" x14ac:dyDescent="0.3">
      <c r="A877" s="1"/>
      <c r="B877" s="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</row>
    <row r="878" spans="1:68" ht="15" x14ac:dyDescent="0.3">
      <c r="A878" s="1"/>
      <c r="B878" s="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</row>
    <row r="879" spans="1:68" ht="15" x14ac:dyDescent="0.3">
      <c r="A879" s="1"/>
      <c r="B879" s="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</row>
    <row r="880" spans="1:68" ht="15" x14ac:dyDescent="0.3">
      <c r="A880" s="1"/>
      <c r="B880" s="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</row>
    <row r="881" spans="1:68" ht="15" x14ac:dyDescent="0.3">
      <c r="A881" s="1"/>
      <c r="B881" s="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</row>
    <row r="882" spans="1:68" ht="15" x14ac:dyDescent="0.3">
      <c r="A882" s="1"/>
      <c r="B882" s="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</row>
    <row r="883" spans="1:68" ht="15" x14ac:dyDescent="0.3">
      <c r="A883" s="1"/>
      <c r="B883" s="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</row>
    <row r="884" spans="1:68" ht="15" x14ac:dyDescent="0.3">
      <c r="A884" s="1"/>
      <c r="B884" s="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</row>
    <row r="885" spans="1:68" ht="15" x14ac:dyDescent="0.3">
      <c r="A885" s="1"/>
      <c r="B885" s="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</row>
    <row r="886" spans="1:68" ht="15" x14ac:dyDescent="0.3">
      <c r="A886" s="1"/>
      <c r="B886" s="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</row>
    <row r="887" spans="1:68" ht="15" x14ac:dyDescent="0.3">
      <c r="A887" s="1"/>
      <c r="B887" s="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</row>
    <row r="888" spans="1:68" ht="15" x14ac:dyDescent="0.3">
      <c r="A888" s="1"/>
      <c r="B888" s="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</row>
    <row r="889" spans="1:68" ht="15" x14ac:dyDescent="0.3">
      <c r="A889" s="1"/>
      <c r="B889" s="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</row>
    <row r="890" spans="1:68" ht="15" x14ac:dyDescent="0.3">
      <c r="A890" s="1"/>
      <c r="B890" s="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</row>
    <row r="891" spans="1:68" ht="15" x14ac:dyDescent="0.3">
      <c r="A891" s="1"/>
      <c r="B891" s="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</row>
    <row r="892" spans="1:68" ht="15" x14ac:dyDescent="0.3">
      <c r="A892" s="1"/>
      <c r="B892" s="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</row>
    <row r="893" spans="1:68" ht="15" x14ac:dyDescent="0.3">
      <c r="A893" s="1"/>
      <c r="B893" s="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</row>
    <row r="894" spans="1:68" ht="15" x14ac:dyDescent="0.3">
      <c r="A894" s="1"/>
      <c r="B894" s="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</row>
    <row r="895" spans="1:68" ht="15" x14ac:dyDescent="0.3">
      <c r="A895" s="1"/>
      <c r="B895" s="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</row>
    <row r="896" spans="1:68" ht="15" x14ac:dyDescent="0.3">
      <c r="A896" s="1"/>
      <c r="B896" s="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</row>
    <row r="897" spans="1:68" ht="15" x14ac:dyDescent="0.3">
      <c r="A897" s="1"/>
      <c r="B897" s="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</row>
    <row r="898" spans="1:68" ht="15" x14ac:dyDescent="0.3">
      <c r="A898" s="1"/>
      <c r="B898" s="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</row>
    <row r="899" spans="1:68" ht="15" x14ac:dyDescent="0.3">
      <c r="A899" s="1"/>
      <c r="B899" s="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</row>
    <row r="900" spans="1:68" ht="15" x14ac:dyDescent="0.3">
      <c r="A900" s="1"/>
      <c r="B900" s="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</row>
    <row r="901" spans="1:68" ht="15" x14ac:dyDescent="0.3">
      <c r="A901" s="1"/>
      <c r="B901" s="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</row>
    <row r="902" spans="1:68" ht="15" x14ac:dyDescent="0.3">
      <c r="A902" s="1"/>
      <c r="B902" s="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</row>
    <row r="903" spans="1:68" ht="15" x14ac:dyDescent="0.3">
      <c r="A903" s="1"/>
      <c r="B903" s="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</row>
    <row r="904" spans="1:68" ht="15" x14ac:dyDescent="0.3">
      <c r="A904" s="1"/>
      <c r="B904" s="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</row>
    <row r="905" spans="1:68" ht="15" x14ac:dyDescent="0.3">
      <c r="A905" s="1"/>
      <c r="B905" s="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</row>
    <row r="906" spans="1:68" ht="15" x14ac:dyDescent="0.3">
      <c r="A906" s="1"/>
      <c r="B906" s="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</row>
    <row r="907" spans="1:68" ht="15" x14ac:dyDescent="0.3">
      <c r="A907" s="1"/>
      <c r="B907" s="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</row>
    <row r="908" spans="1:68" ht="15" x14ac:dyDescent="0.3">
      <c r="A908" s="1"/>
      <c r="B908" s="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</row>
    <row r="909" spans="1:68" ht="15" x14ac:dyDescent="0.3">
      <c r="A909" s="1"/>
      <c r="B909" s="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</row>
    <row r="910" spans="1:68" ht="15" x14ac:dyDescent="0.3">
      <c r="A910" s="1"/>
      <c r="B910" s="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</row>
    <row r="911" spans="1:68" ht="15" x14ac:dyDescent="0.3">
      <c r="A911" s="1"/>
      <c r="B911" s="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</row>
    <row r="912" spans="1:68" ht="15" x14ac:dyDescent="0.3">
      <c r="A912" s="1"/>
      <c r="B912" s="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</row>
    <row r="913" spans="1:68" ht="15" x14ac:dyDescent="0.3">
      <c r="A913" s="1"/>
      <c r="B913" s="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</row>
    <row r="914" spans="1:68" ht="15" x14ac:dyDescent="0.3">
      <c r="A914" s="1"/>
      <c r="B914" s="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</row>
    <row r="915" spans="1:68" ht="15" x14ac:dyDescent="0.3">
      <c r="A915" s="1"/>
      <c r="B915" s="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</row>
    <row r="916" spans="1:68" ht="15" x14ac:dyDescent="0.3">
      <c r="A916" s="1"/>
      <c r="B916" s="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</row>
    <row r="917" spans="1:68" ht="15" x14ac:dyDescent="0.3">
      <c r="A917" s="1"/>
      <c r="B917" s="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</row>
    <row r="918" spans="1:68" ht="15" x14ac:dyDescent="0.3">
      <c r="A918" s="1"/>
      <c r="B918" s="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</row>
    <row r="919" spans="1:68" ht="15" x14ac:dyDescent="0.3">
      <c r="A919" s="1"/>
      <c r="B919" s="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</row>
    <row r="920" spans="1:68" ht="15" x14ac:dyDescent="0.3">
      <c r="A920" s="1"/>
      <c r="B920" s="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</row>
    <row r="921" spans="1:68" ht="15" x14ac:dyDescent="0.3">
      <c r="A921" s="1"/>
      <c r="B921" s="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</row>
    <row r="922" spans="1:68" ht="15" x14ac:dyDescent="0.3">
      <c r="A922" s="1"/>
      <c r="B922" s="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</row>
    <row r="923" spans="1:68" ht="15" x14ac:dyDescent="0.3">
      <c r="A923" s="1"/>
      <c r="B923" s="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</row>
    <row r="924" spans="1:68" ht="15" x14ac:dyDescent="0.3">
      <c r="A924" s="1"/>
      <c r="B924" s="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</row>
    <row r="925" spans="1:68" ht="15" x14ac:dyDescent="0.3">
      <c r="A925" s="1"/>
      <c r="B925" s="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</row>
    <row r="926" spans="1:68" ht="15" x14ac:dyDescent="0.3">
      <c r="A926" s="1"/>
      <c r="B926" s="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</row>
    <row r="927" spans="1:68" ht="15" x14ac:dyDescent="0.3">
      <c r="A927" s="1"/>
      <c r="B927" s="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</row>
    <row r="928" spans="1:68" ht="15" x14ac:dyDescent="0.3">
      <c r="A928" s="1"/>
      <c r="B928" s="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</row>
    <row r="929" spans="1:68" ht="15" x14ac:dyDescent="0.3">
      <c r="A929" s="1"/>
      <c r="B929" s="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</row>
    <row r="930" spans="1:68" ht="15" x14ac:dyDescent="0.3">
      <c r="A930" s="1"/>
      <c r="B930" s="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</row>
    <row r="931" spans="1:68" ht="15" x14ac:dyDescent="0.3">
      <c r="A931" s="1"/>
      <c r="B931" s="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</row>
    <row r="932" spans="1:68" ht="15" x14ac:dyDescent="0.3">
      <c r="A932" s="1"/>
      <c r="B932" s="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</row>
    <row r="933" spans="1:68" ht="15" x14ac:dyDescent="0.3">
      <c r="A933" s="1"/>
      <c r="B933" s="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</row>
    <row r="934" spans="1:68" ht="15" x14ac:dyDescent="0.3">
      <c r="A934" s="1"/>
      <c r="B934" s="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</row>
    <row r="935" spans="1:68" ht="15" x14ac:dyDescent="0.3">
      <c r="A935" s="1"/>
      <c r="B935" s="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</row>
    <row r="936" spans="1:68" ht="15" x14ac:dyDescent="0.3">
      <c r="A936" s="1"/>
      <c r="B936" s="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</row>
    <row r="937" spans="1:68" ht="15" x14ac:dyDescent="0.3">
      <c r="A937" s="1"/>
      <c r="B937" s="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</row>
    <row r="938" spans="1:68" ht="15" x14ac:dyDescent="0.3">
      <c r="A938" s="1"/>
      <c r="B938" s="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</row>
    <row r="939" spans="1:68" ht="15" x14ac:dyDescent="0.3">
      <c r="A939" s="1"/>
      <c r="B939" s="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</row>
    <row r="940" spans="1:68" ht="15" x14ac:dyDescent="0.3">
      <c r="A940" s="1"/>
      <c r="B940" s="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</row>
    <row r="941" spans="1:68" ht="15" x14ac:dyDescent="0.3">
      <c r="A941" s="1"/>
      <c r="B941" s="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</row>
    <row r="942" spans="1:68" ht="15" x14ac:dyDescent="0.3">
      <c r="A942" s="1"/>
      <c r="B942" s="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</row>
    <row r="943" spans="1:68" ht="15" x14ac:dyDescent="0.3">
      <c r="A943" s="1"/>
      <c r="B943" s="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</row>
    <row r="944" spans="1:68" ht="15" x14ac:dyDescent="0.3">
      <c r="A944" s="1"/>
      <c r="B944" s="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</row>
    <row r="945" spans="1:68" ht="15" x14ac:dyDescent="0.3">
      <c r="A945" s="1"/>
      <c r="B945" s="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</row>
    <row r="946" spans="1:68" ht="15" x14ac:dyDescent="0.3">
      <c r="A946" s="1"/>
      <c r="B946" s="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</row>
    <row r="947" spans="1:68" ht="15" x14ac:dyDescent="0.3">
      <c r="A947" s="1"/>
      <c r="B947" s="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</row>
    <row r="948" spans="1:68" ht="15" x14ac:dyDescent="0.3">
      <c r="A948" s="1"/>
      <c r="B948" s="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</row>
    <row r="949" spans="1:68" ht="15" x14ac:dyDescent="0.3">
      <c r="A949" s="1"/>
      <c r="B949" s="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</row>
    <row r="950" spans="1:68" ht="15" x14ac:dyDescent="0.3">
      <c r="A950" s="1"/>
      <c r="B950" s="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</row>
    <row r="951" spans="1:68" ht="15" x14ac:dyDescent="0.3">
      <c r="A951" s="1"/>
      <c r="B951" s="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</row>
    <row r="952" spans="1:68" ht="15" x14ac:dyDescent="0.3">
      <c r="A952" s="1"/>
      <c r="B952" s="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</row>
    <row r="953" spans="1:68" ht="15" x14ac:dyDescent="0.3">
      <c r="A953" s="1"/>
      <c r="B953" s="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</row>
    <row r="954" spans="1:68" ht="15" x14ac:dyDescent="0.3">
      <c r="A954" s="1"/>
      <c r="B954" s="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</row>
    <row r="955" spans="1:68" ht="15" x14ac:dyDescent="0.3">
      <c r="A955" s="1"/>
      <c r="B955" s="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</row>
    <row r="956" spans="1:68" ht="15" x14ac:dyDescent="0.3">
      <c r="A956" s="1"/>
      <c r="B956" s="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</row>
    <row r="957" spans="1:68" ht="15" x14ac:dyDescent="0.3">
      <c r="A957" s="1"/>
      <c r="B957" s="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</row>
    <row r="958" spans="1:68" ht="15" x14ac:dyDescent="0.3">
      <c r="A958" s="1"/>
      <c r="B958" s="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</row>
    <row r="959" spans="1:68" ht="15" x14ac:dyDescent="0.3">
      <c r="A959" s="1"/>
      <c r="B959" s="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</row>
    <row r="960" spans="1:68" ht="15" x14ac:dyDescent="0.3">
      <c r="A960" s="1"/>
      <c r="B960" s="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</row>
    <row r="961" spans="1:68" ht="15" x14ac:dyDescent="0.3">
      <c r="A961" s="1"/>
      <c r="B961" s="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</row>
    <row r="962" spans="1:68" ht="15" x14ac:dyDescent="0.3">
      <c r="A962" s="1"/>
      <c r="B962" s="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</row>
    <row r="963" spans="1:68" ht="15" x14ac:dyDescent="0.3">
      <c r="A963" s="1"/>
      <c r="B963" s="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</row>
    <row r="964" spans="1:68" ht="15" x14ac:dyDescent="0.3">
      <c r="A964" s="1"/>
      <c r="B964" s="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</row>
    <row r="965" spans="1:68" ht="15" x14ac:dyDescent="0.3">
      <c r="A965" s="1"/>
      <c r="B965" s="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</row>
    <row r="966" spans="1:68" ht="15" x14ac:dyDescent="0.3">
      <c r="A966" s="1"/>
      <c r="B966" s="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</row>
    <row r="967" spans="1:68" ht="15" x14ac:dyDescent="0.3">
      <c r="A967" s="1"/>
      <c r="B967" s="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</row>
    <row r="968" spans="1:68" ht="15" x14ac:dyDescent="0.3">
      <c r="A968" s="1"/>
      <c r="B968" s="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</row>
    <row r="969" spans="1:68" ht="15" x14ac:dyDescent="0.3">
      <c r="A969" s="1"/>
      <c r="B969" s="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</row>
    <row r="970" spans="1:68" ht="15" x14ac:dyDescent="0.3">
      <c r="A970" s="1"/>
      <c r="B970" s="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</row>
    <row r="971" spans="1:68" ht="15" x14ac:dyDescent="0.3">
      <c r="A971" s="1"/>
      <c r="B971" s="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</row>
    <row r="972" spans="1:68" ht="15" x14ac:dyDescent="0.3">
      <c r="A972" s="1"/>
      <c r="B972" s="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</row>
    <row r="973" spans="1:68" ht="15" x14ac:dyDescent="0.3">
      <c r="A973" s="1"/>
      <c r="B973" s="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</row>
    <row r="974" spans="1:68" ht="15" x14ac:dyDescent="0.3">
      <c r="A974" s="1"/>
      <c r="B974" s="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</row>
    <row r="975" spans="1:68" ht="15" x14ac:dyDescent="0.3">
      <c r="A975" s="1"/>
      <c r="B975" s="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</row>
    <row r="976" spans="1:68" ht="15" x14ac:dyDescent="0.3">
      <c r="A976" s="1"/>
      <c r="B976" s="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</row>
    <row r="977" spans="1:68" ht="15" x14ac:dyDescent="0.3">
      <c r="A977" s="1"/>
      <c r="B977" s="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</row>
    <row r="978" spans="1:68" ht="15" x14ac:dyDescent="0.3">
      <c r="A978" s="1"/>
      <c r="B978" s="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</row>
    <row r="979" spans="1:68" ht="15" x14ac:dyDescent="0.3">
      <c r="A979" s="1"/>
      <c r="B979" s="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</row>
    <row r="980" spans="1:68" ht="15" x14ac:dyDescent="0.3">
      <c r="A980" s="1"/>
      <c r="B980" s="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</row>
    <row r="981" spans="1:68" ht="15" x14ac:dyDescent="0.3">
      <c r="A981" s="1"/>
      <c r="B981" s="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</row>
    <row r="982" spans="1:68" ht="15" x14ac:dyDescent="0.3">
      <c r="A982" s="1"/>
      <c r="B982" s="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</row>
    <row r="983" spans="1:68" ht="15" x14ac:dyDescent="0.3">
      <c r="A983" s="1"/>
      <c r="B983" s="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</row>
    <row r="984" spans="1:68" ht="15" x14ac:dyDescent="0.3">
      <c r="A984" s="1"/>
      <c r="B984" s="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</row>
    <row r="985" spans="1:68" ht="15" x14ac:dyDescent="0.3">
      <c r="A985" s="1"/>
      <c r="B985" s="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</row>
    <row r="986" spans="1:68" ht="15" x14ac:dyDescent="0.3">
      <c r="A986" s="1"/>
      <c r="B986" s="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</row>
    <row r="987" spans="1:68" ht="15" x14ac:dyDescent="0.3">
      <c r="A987" s="1"/>
      <c r="B987" s="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</row>
    <row r="988" spans="1:68" ht="15" x14ac:dyDescent="0.3">
      <c r="A988" s="1"/>
      <c r="B988" s="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</row>
    <row r="989" spans="1:68" ht="15" x14ac:dyDescent="0.3">
      <c r="A989" s="1"/>
      <c r="B989" s="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</row>
    <row r="990" spans="1:68" ht="15" x14ac:dyDescent="0.3">
      <c r="A990" s="1"/>
      <c r="B990" s="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</row>
    <row r="991" spans="1:68" ht="15" x14ac:dyDescent="0.3">
      <c r="A991" s="1"/>
      <c r="B991" s="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</row>
    <row r="992" spans="1:68" ht="15" x14ac:dyDescent="0.3">
      <c r="A992" s="1"/>
      <c r="B992" s="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</row>
    <row r="993" spans="1:68" ht="15" x14ac:dyDescent="0.3">
      <c r="A993" s="1"/>
      <c r="B993" s="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</row>
    <row r="994" spans="1:68" ht="15" x14ac:dyDescent="0.3">
      <c r="A994" s="1"/>
      <c r="B994" s="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</row>
    <row r="995" spans="1:68" ht="15" x14ac:dyDescent="0.3">
      <c r="A995" s="1"/>
      <c r="B995" s="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</row>
    <row r="996" spans="1:68" ht="15" x14ac:dyDescent="0.3">
      <c r="A996" s="1"/>
      <c r="B996" s="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</row>
    <row r="997" spans="1:68" ht="15" x14ac:dyDescent="0.3">
      <c r="A997" s="1"/>
      <c r="B997" s="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</row>
    <row r="998" spans="1:68" ht="15" x14ac:dyDescent="0.3">
      <c r="A998" s="1"/>
      <c r="B998" s="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</row>
    <row r="999" spans="1:68" ht="15" x14ac:dyDescent="0.3">
      <c r="A999" s="1"/>
      <c r="B999" s="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</row>
    <row r="1000" spans="1:68" ht="15" x14ac:dyDescent="0.3">
      <c r="A1000" s="1"/>
      <c r="B1000" s="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</row>
    <row r="1001" spans="1:68" ht="15" x14ac:dyDescent="0.3">
      <c r="A1001" s="1"/>
      <c r="B1001" s="2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</row>
    <row r="1002" spans="1:68" ht="15" x14ac:dyDescent="0.3">
      <c r="A1002" s="1"/>
      <c r="B1002" s="2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</row>
    <row r="1003" spans="1:68" ht="15" x14ac:dyDescent="0.3">
      <c r="A1003" s="1"/>
      <c r="B1003" s="2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</row>
    <row r="1004" spans="1:68" ht="15" x14ac:dyDescent="0.3">
      <c r="A1004" s="1"/>
      <c r="B1004" s="2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</row>
    <row r="1005" spans="1:68" ht="15" x14ac:dyDescent="0.3">
      <c r="A1005" s="1"/>
      <c r="B1005" s="2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</row>
    <row r="1006" spans="1:68" ht="15" x14ac:dyDescent="0.3">
      <c r="A1006" s="1"/>
      <c r="B1006" s="2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</row>
    <row r="1007" spans="1:68" ht="15" x14ac:dyDescent="0.3">
      <c r="A1007" s="1"/>
      <c r="B1007" s="2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</row>
    <row r="1008" spans="1:68" ht="15" x14ac:dyDescent="0.3">
      <c r="A1008" s="1"/>
      <c r="B1008" s="2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</row>
    <row r="1009" spans="1:68" ht="15" x14ac:dyDescent="0.3">
      <c r="A1009" s="1"/>
      <c r="B1009" s="2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</row>
    <row r="1010" spans="1:68" ht="15" x14ac:dyDescent="0.3">
      <c r="A1010" s="1"/>
      <c r="B1010" s="2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</row>
    <row r="1011" spans="1:68" ht="15" x14ac:dyDescent="0.3">
      <c r="A1011" s="1"/>
      <c r="B1011" s="2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</row>
    <row r="1012" spans="1:68" ht="15" x14ac:dyDescent="0.3">
      <c r="A1012" s="1"/>
      <c r="B1012" s="2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</row>
  </sheetData>
  <mergeCells count="20">
    <mergeCell ref="AU2:BE3"/>
    <mergeCell ref="BF2:BP3"/>
    <mergeCell ref="AO3:AT3"/>
    <mergeCell ref="AD3:AI3"/>
    <mergeCell ref="AJ3:AN3"/>
    <mergeCell ref="A2:B2"/>
    <mergeCell ref="C2:M2"/>
    <mergeCell ref="N2:X2"/>
    <mergeCell ref="Y2:AI2"/>
    <mergeCell ref="AJ2:AT2"/>
    <mergeCell ref="A46:A47"/>
    <mergeCell ref="H3:M3"/>
    <mergeCell ref="N3:R3"/>
    <mergeCell ref="S3:X3"/>
    <mergeCell ref="Y3:AC3"/>
    <mergeCell ref="A3:B4"/>
    <mergeCell ref="C3:G3"/>
    <mergeCell ref="A5:A28"/>
    <mergeCell ref="A29:A43"/>
    <mergeCell ref="A44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50mts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López</cp:lastModifiedBy>
  <dcterms:modified xsi:type="dcterms:W3CDTF">2026-07-14T02:52:06Z</dcterms:modified>
</cp:coreProperties>
</file>